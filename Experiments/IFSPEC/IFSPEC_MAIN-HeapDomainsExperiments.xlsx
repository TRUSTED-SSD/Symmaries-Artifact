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6"/>
  <workbookPr/>
  <mc:AlternateContent xmlns:mc="http://schemas.openxmlformats.org/markup-compatibility/2006">
    <mc:Choice Requires="x15">
      <x15ac:absPath xmlns:x15ac="http://schemas.microsoft.com/office/spreadsheetml/2010/11/ac" url="/Volumes/Research/Papers/2023 Inter-ProcedularAnalysis/CCS 2026/CCS2026-Artifact/IFSPEC/"/>
    </mc:Choice>
  </mc:AlternateContent>
  <xr:revisionPtr revIDLastSave="0" documentId="13_ncr:1_{86291E11-80C0-5D43-A50E-B5EB57191307}" xr6:coauthVersionLast="47" xr6:coauthVersionMax="47" xr10:uidLastSave="{00000000-0000-0000-0000-000000000000}"/>
  <bookViews>
    <workbookView xWindow="2120" yWindow="1940" windowWidth="32440" windowHeight="18340" xr2:uid="{00000000-000D-0000-FFFF-FFFF00000000}"/>
  </bookViews>
  <sheets>
    <sheet name="Results" sheetId="1" r:id="rId1"/>
    <sheet name="Joana-MainPaper" sheetId="11" r:id="rId2"/>
    <sheet name="Key-MainPaper" sheetId="12" r:id="rId3"/>
    <sheet name="Cassandar-MainPaper" sheetId="10" r:id="rId4"/>
    <sheet name="Comparison Results" sheetId="3" r:id="rId5"/>
  </sheets>
  <definedNames>
    <definedName name="_xlnm._FilterDatabase" localSheetId="3" hidden="1">'Cassandar-MainPaper'!$A$1:$G$324</definedName>
    <definedName name="_xlnm._FilterDatabase" localSheetId="1" hidden="1">'Joana-MainPaper'!$A$1:$G$324</definedName>
    <definedName name="_xlnm._FilterDatabase" localSheetId="2" hidden="1">'Key-MainPaper'!$A$1:$F$213</definedName>
    <definedName name="_xlnm._FilterDatabase" localSheetId="0" hidden="1">Results!$A$1:$S$215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1">
      <go:sheetsCustomData xmlns:go="http://customooxmlschemas.google.com/" r:id="rId12" roundtripDataSignature="AMtx7mjw+Da7hNlPZs0hQmfWrwVRkC7Lpg=="/>
    </ext>
  </extLst>
</workbook>
</file>

<file path=xl/calcChain.xml><?xml version="1.0" encoding="utf-8"?>
<calcChain xmlns="http://schemas.openxmlformats.org/spreadsheetml/2006/main">
  <c r="B224" i="11" l="1"/>
  <c r="U52" i="3"/>
  <c r="U53" i="3"/>
  <c r="U54" i="3"/>
  <c r="U55" i="3"/>
  <c r="U56" i="3"/>
  <c r="U57" i="3"/>
  <c r="U58" i="3"/>
  <c r="U59" i="3"/>
  <c r="U51" i="3"/>
  <c r="Q57" i="3"/>
  <c r="O57" i="3"/>
  <c r="M57" i="3"/>
  <c r="H57" i="3"/>
  <c r="F57" i="3"/>
  <c r="D57" i="3"/>
  <c r="J57" i="3"/>
  <c r="J52" i="3"/>
  <c r="J53" i="3"/>
  <c r="J54" i="3"/>
  <c r="J55" i="3"/>
  <c r="J56" i="3"/>
  <c r="J58" i="3"/>
  <c r="J59" i="3"/>
  <c r="J51" i="3"/>
  <c r="M54" i="3"/>
  <c r="M53" i="3"/>
  <c r="M52" i="3"/>
  <c r="F3" i="12"/>
  <c r="F4" i="12"/>
  <c r="F5" i="12"/>
  <c r="F6" i="12"/>
  <c r="F7" i="12"/>
  <c r="F8" i="12"/>
  <c r="F9" i="12"/>
  <c r="F10" i="12"/>
  <c r="F11" i="12"/>
  <c r="F12" i="12"/>
  <c r="F13" i="12"/>
  <c r="F14" i="12"/>
  <c r="F15" i="12"/>
  <c r="F16" i="12"/>
  <c r="F17" i="12"/>
  <c r="F18" i="12"/>
  <c r="F19" i="12"/>
  <c r="F20" i="12"/>
  <c r="F22" i="12"/>
  <c r="F23" i="12"/>
  <c r="F24" i="12"/>
  <c r="F25" i="12"/>
  <c r="F26" i="12"/>
  <c r="F27" i="12"/>
  <c r="F28" i="12"/>
  <c r="F29" i="12"/>
  <c r="F32" i="12"/>
  <c r="F33" i="12"/>
  <c r="F34" i="12"/>
  <c r="F35" i="12"/>
  <c r="F36" i="12"/>
  <c r="F37" i="12"/>
  <c r="F38" i="12"/>
  <c r="F39" i="12"/>
  <c r="F40" i="12"/>
  <c r="F41" i="12"/>
  <c r="F42" i="12"/>
  <c r="F43" i="12"/>
  <c r="F44" i="12"/>
  <c r="F45" i="12"/>
  <c r="F46" i="12"/>
  <c r="F47" i="12"/>
  <c r="F48" i="12"/>
  <c r="F49" i="12"/>
  <c r="F50" i="12"/>
  <c r="F51" i="12"/>
  <c r="F52" i="12"/>
  <c r="F53" i="12"/>
  <c r="F54" i="12"/>
  <c r="F55" i="12"/>
  <c r="F56" i="12"/>
  <c r="F57" i="12"/>
  <c r="F58" i="12"/>
  <c r="F59" i="12"/>
  <c r="F60" i="12"/>
  <c r="F61" i="12"/>
  <c r="F62" i="12"/>
  <c r="F63" i="12"/>
  <c r="F64" i="12"/>
  <c r="F65" i="12"/>
  <c r="F66" i="12"/>
  <c r="F67" i="12"/>
  <c r="F68" i="12"/>
  <c r="F69" i="12"/>
  <c r="F70" i="12"/>
  <c r="F71" i="12"/>
  <c r="F72" i="12"/>
  <c r="F73" i="12"/>
  <c r="F74" i="12"/>
  <c r="F75" i="12"/>
  <c r="F76" i="12"/>
  <c r="F77" i="12"/>
  <c r="F78" i="12"/>
  <c r="F79" i="12"/>
  <c r="F80" i="12"/>
  <c r="F81" i="12"/>
  <c r="F82" i="12"/>
  <c r="F83" i="12"/>
  <c r="F84" i="12"/>
  <c r="F85" i="12"/>
  <c r="F86" i="12"/>
  <c r="F87" i="12"/>
  <c r="F88" i="12"/>
  <c r="F89" i="12"/>
  <c r="F90" i="12"/>
  <c r="F91" i="12"/>
  <c r="F92" i="12"/>
  <c r="F93" i="12"/>
  <c r="F94" i="12"/>
  <c r="F95" i="12"/>
  <c r="F96" i="12"/>
  <c r="F97" i="12"/>
  <c r="F98" i="12"/>
  <c r="F99" i="12"/>
  <c r="F100" i="12"/>
  <c r="F101" i="12"/>
  <c r="F102" i="12"/>
  <c r="F103" i="12"/>
  <c r="F104" i="12"/>
  <c r="F105" i="12"/>
  <c r="F106" i="12"/>
  <c r="F107" i="12"/>
  <c r="F108" i="12"/>
  <c r="F109" i="12"/>
  <c r="F110" i="12"/>
  <c r="F111" i="12"/>
  <c r="F112" i="12"/>
  <c r="F113" i="12"/>
  <c r="F114" i="12"/>
  <c r="F115" i="12"/>
  <c r="F116" i="12"/>
  <c r="F117" i="12"/>
  <c r="F118" i="12"/>
  <c r="F119" i="12"/>
  <c r="F120" i="12"/>
  <c r="F121" i="12"/>
  <c r="F122" i="12"/>
  <c r="F123" i="12"/>
  <c r="F124" i="12"/>
  <c r="F125" i="12"/>
  <c r="F126" i="12"/>
  <c r="F127" i="12"/>
  <c r="F128" i="12"/>
  <c r="F129" i="12"/>
  <c r="F130" i="12"/>
  <c r="F131" i="12"/>
  <c r="F132" i="12"/>
  <c r="F133" i="12"/>
  <c r="F134" i="12"/>
  <c r="F135" i="12"/>
  <c r="F136" i="12"/>
  <c r="F137" i="12"/>
  <c r="F138" i="12"/>
  <c r="F139" i="12"/>
  <c r="F140" i="12"/>
  <c r="F141" i="12"/>
  <c r="F142" i="12"/>
  <c r="F143" i="12"/>
  <c r="F144" i="12"/>
  <c r="F145" i="12"/>
  <c r="F146" i="12"/>
  <c r="F147" i="12"/>
  <c r="F148" i="12"/>
  <c r="F149" i="12"/>
  <c r="F150" i="12"/>
  <c r="F151" i="12"/>
  <c r="F152" i="12"/>
  <c r="F153" i="12"/>
  <c r="F154" i="12"/>
  <c r="F155" i="12"/>
  <c r="F156" i="12"/>
  <c r="F157" i="12"/>
  <c r="F158" i="12"/>
  <c r="F159" i="12"/>
  <c r="F160" i="12"/>
  <c r="F161" i="12"/>
  <c r="F162" i="12"/>
  <c r="F163" i="12"/>
  <c r="F164" i="12"/>
  <c r="F165" i="12"/>
  <c r="F166" i="12"/>
  <c r="F167" i="12"/>
  <c r="F168" i="12"/>
  <c r="F169" i="12"/>
  <c r="F170" i="12"/>
  <c r="F171" i="12"/>
  <c r="F172" i="12"/>
  <c r="F173" i="12"/>
  <c r="F174" i="12"/>
  <c r="F175" i="12"/>
  <c r="F176" i="12"/>
  <c r="F177" i="12"/>
  <c r="F178" i="12"/>
  <c r="F179" i="12"/>
  <c r="F180" i="12"/>
  <c r="F181" i="12"/>
  <c r="F182" i="12"/>
  <c r="F183" i="12"/>
  <c r="F184" i="12"/>
  <c r="F185" i="12"/>
  <c r="F186" i="12"/>
  <c r="F187" i="12"/>
  <c r="F188" i="12"/>
  <c r="F189" i="12"/>
  <c r="F190" i="12"/>
  <c r="F191" i="12"/>
  <c r="F192" i="12"/>
  <c r="F193" i="12"/>
  <c r="F194" i="12"/>
  <c r="F195" i="12"/>
  <c r="F196" i="12"/>
  <c r="F197" i="12"/>
  <c r="F198" i="12"/>
  <c r="F199" i="12"/>
  <c r="F200" i="12"/>
  <c r="F201" i="12"/>
  <c r="F202" i="12"/>
  <c r="F203" i="12"/>
  <c r="F204" i="12"/>
  <c r="F205" i="12"/>
  <c r="F206" i="12"/>
  <c r="F207" i="12"/>
  <c r="F208" i="12"/>
  <c r="F209" i="12"/>
  <c r="F210" i="12"/>
  <c r="F211" i="12"/>
  <c r="F212" i="12"/>
  <c r="F213" i="12"/>
  <c r="F2" i="12"/>
  <c r="G210" i="11"/>
  <c r="G209" i="11"/>
  <c r="G208" i="11"/>
  <c r="G207" i="11"/>
  <c r="G206" i="11"/>
  <c r="G205" i="11"/>
  <c r="G204" i="11"/>
  <c r="G203" i="11"/>
  <c r="G202" i="11"/>
  <c r="G201" i="11"/>
  <c r="G200" i="11"/>
  <c r="G199" i="11"/>
  <c r="G198" i="11"/>
  <c r="G197" i="11"/>
  <c r="G196" i="11"/>
  <c r="G195" i="11"/>
  <c r="G194" i="11"/>
  <c r="G193" i="11"/>
  <c r="G192" i="11"/>
  <c r="G191" i="11"/>
  <c r="G190" i="11"/>
  <c r="G189" i="11"/>
  <c r="G188" i="11"/>
  <c r="G187" i="11"/>
  <c r="G186" i="11"/>
  <c r="G185" i="11"/>
  <c r="G184" i="11"/>
  <c r="G183" i="11"/>
  <c r="G182" i="11"/>
  <c r="G181" i="11"/>
  <c r="G180" i="11"/>
  <c r="G179" i="11"/>
  <c r="G178" i="11"/>
  <c r="G177" i="11"/>
  <c r="G176" i="11"/>
  <c r="G175" i="11"/>
  <c r="G174" i="11"/>
  <c r="G173" i="11"/>
  <c r="G172" i="11"/>
  <c r="G171" i="11"/>
  <c r="G170" i="11"/>
  <c r="G169" i="11"/>
  <c r="G168" i="11"/>
  <c r="G167" i="11"/>
  <c r="G166" i="11"/>
  <c r="G165" i="11"/>
  <c r="G164" i="11"/>
  <c r="G163" i="11"/>
  <c r="G162" i="11"/>
  <c r="G161" i="11"/>
  <c r="G160" i="11"/>
  <c r="G159" i="11"/>
  <c r="G158" i="11"/>
  <c r="G157" i="11"/>
  <c r="G156" i="11"/>
  <c r="G155" i="11"/>
  <c r="G154" i="11"/>
  <c r="G153" i="11"/>
  <c r="G152" i="11"/>
  <c r="G151" i="11"/>
  <c r="G150" i="11"/>
  <c r="G149" i="11"/>
  <c r="G148" i="11"/>
  <c r="G147" i="11"/>
  <c r="G146" i="11"/>
  <c r="G145" i="11"/>
  <c r="G144" i="11"/>
  <c r="G143" i="11"/>
  <c r="G142" i="11"/>
  <c r="G141" i="11"/>
  <c r="G140" i="11"/>
  <c r="G139" i="11"/>
  <c r="G138" i="11"/>
  <c r="G137" i="11"/>
  <c r="G136" i="11"/>
  <c r="G135" i="11"/>
  <c r="G134" i="11"/>
  <c r="G133" i="11"/>
  <c r="G132" i="11"/>
  <c r="G131" i="11"/>
  <c r="G130" i="11"/>
  <c r="G129" i="11"/>
  <c r="G128" i="11"/>
  <c r="G127" i="11"/>
  <c r="G126" i="11"/>
  <c r="G125" i="11"/>
  <c r="G124" i="11"/>
  <c r="G123" i="11"/>
  <c r="G122" i="11"/>
  <c r="G121" i="11"/>
  <c r="G120" i="11"/>
  <c r="G119" i="11"/>
  <c r="G118" i="11"/>
  <c r="G117" i="11"/>
  <c r="G116" i="11"/>
  <c r="G115" i="11"/>
  <c r="G114" i="11"/>
  <c r="G113" i="11"/>
  <c r="G112" i="11"/>
  <c r="G111" i="11"/>
  <c r="G110" i="11"/>
  <c r="G109" i="11"/>
  <c r="G108" i="11"/>
  <c r="G107" i="11"/>
  <c r="G106" i="11"/>
  <c r="G105" i="11"/>
  <c r="G104" i="11"/>
  <c r="G103" i="11"/>
  <c r="G102" i="11"/>
  <c r="G101" i="11"/>
  <c r="G100" i="11"/>
  <c r="G99" i="11"/>
  <c r="G98" i="11"/>
  <c r="G97" i="11"/>
  <c r="G96" i="11"/>
  <c r="G95" i="11"/>
  <c r="G94" i="11"/>
  <c r="G93" i="11"/>
  <c r="G92" i="11"/>
  <c r="G91" i="11"/>
  <c r="G90" i="11"/>
  <c r="G89" i="11"/>
  <c r="G88" i="11"/>
  <c r="G87" i="11"/>
  <c r="G86" i="11"/>
  <c r="G85" i="11"/>
  <c r="G84" i="11"/>
  <c r="G83" i="11"/>
  <c r="G82" i="11"/>
  <c r="G81" i="11"/>
  <c r="G80" i="11"/>
  <c r="G79" i="11"/>
  <c r="G78" i="11"/>
  <c r="G77" i="11"/>
  <c r="G76" i="11"/>
  <c r="G75" i="11"/>
  <c r="G74" i="11"/>
  <c r="G73" i="11"/>
  <c r="G72" i="11"/>
  <c r="G71" i="11"/>
  <c r="G70" i="11"/>
  <c r="G69" i="11"/>
  <c r="G68" i="11"/>
  <c r="G67" i="11"/>
  <c r="G66" i="11"/>
  <c r="G65" i="11"/>
  <c r="G64" i="11"/>
  <c r="G63" i="11"/>
  <c r="G62" i="11"/>
  <c r="G61" i="11"/>
  <c r="G60" i="11"/>
  <c r="G59" i="11"/>
  <c r="G58" i="11"/>
  <c r="G57" i="11"/>
  <c r="G56" i="11"/>
  <c r="G55" i="11"/>
  <c r="G54" i="11"/>
  <c r="G53" i="11"/>
  <c r="G52" i="11"/>
  <c r="G51" i="11"/>
  <c r="G50" i="11"/>
  <c r="G49" i="11"/>
  <c r="G48" i="11"/>
  <c r="G47" i="11"/>
  <c r="G46" i="11"/>
  <c r="G45" i="11"/>
  <c r="G44" i="11"/>
  <c r="G43" i="11"/>
  <c r="G42" i="11"/>
  <c r="G41" i="11"/>
  <c r="G40" i="11"/>
  <c r="G39" i="11"/>
  <c r="G38" i="11"/>
  <c r="G37" i="11"/>
  <c r="G36" i="11"/>
  <c r="G35" i="11"/>
  <c r="G34" i="11"/>
  <c r="G33" i="11"/>
  <c r="G32" i="11"/>
  <c r="G31" i="11"/>
  <c r="G30" i="11"/>
  <c r="G29" i="11"/>
  <c r="G28" i="11"/>
  <c r="G27" i="11"/>
  <c r="G26" i="11"/>
  <c r="G24" i="11"/>
  <c r="G23" i="11"/>
  <c r="G22" i="11"/>
  <c r="G21" i="11"/>
  <c r="G20" i="11"/>
  <c r="G19" i="11"/>
  <c r="G18" i="11"/>
  <c r="G17" i="11"/>
  <c r="G16" i="11"/>
  <c r="G15" i="11"/>
  <c r="G14" i="11"/>
  <c r="G13" i="11"/>
  <c r="G12" i="11"/>
  <c r="G11" i="11"/>
  <c r="G10" i="11"/>
  <c r="G9" i="11"/>
  <c r="G8" i="11"/>
  <c r="G7" i="11"/>
  <c r="G6" i="11"/>
  <c r="G5" i="11"/>
  <c r="G4" i="11"/>
  <c r="G3" i="11"/>
  <c r="G2" i="11"/>
  <c r="G199" i="10"/>
  <c r="G29" i="10"/>
  <c r="G17" i="10"/>
  <c r="G16" i="10"/>
  <c r="G3" i="10"/>
  <c r="G4" i="10"/>
  <c r="G5" i="10"/>
  <c r="G6" i="10"/>
  <c r="G7" i="10"/>
  <c r="G8" i="10"/>
  <c r="G9" i="10"/>
  <c r="G10" i="10"/>
  <c r="G11" i="10"/>
  <c r="G12" i="10"/>
  <c r="G13" i="10"/>
  <c r="G14" i="10"/>
  <c r="G15" i="10"/>
  <c r="G18" i="10"/>
  <c r="G19" i="10"/>
  <c r="G20" i="10"/>
  <c r="G22" i="10"/>
  <c r="G23" i="10"/>
  <c r="G24" i="10"/>
  <c r="G25" i="10"/>
  <c r="G26" i="10"/>
  <c r="G27" i="10"/>
  <c r="G28" i="10"/>
  <c r="G32" i="10"/>
  <c r="G33" i="10"/>
  <c r="G34" i="10"/>
  <c r="G35" i="10"/>
  <c r="G36" i="10"/>
  <c r="G37" i="10"/>
  <c r="G38" i="10"/>
  <c r="G39" i="10"/>
  <c r="G40" i="10"/>
  <c r="G41" i="10"/>
  <c r="G42" i="10"/>
  <c r="G43" i="10"/>
  <c r="G44" i="10"/>
  <c r="G45" i="10"/>
  <c r="G46" i="10"/>
  <c r="G47" i="10"/>
  <c r="G48" i="10"/>
  <c r="G49" i="10"/>
  <c r="G50" i="10"/>
  <c r="G51" i="10"/>
  <c r="G52" i="10"/>
  <c r="G53" i="10"/>
  <c r="G54" i="10"/>
  <c r="G55" i="10"/>
  <c r="G56" i="10"/>
  <c r="G57" i="10"/>
  <c r="G58" i="10"/>
  <c r="G59" i="10"/>
  <c r="G60" i="10"/>
  <c r="G61" i="10"/>
  <c r="G62" i="10"/>
  <c r="G63" i="10"/>
  <c r="G64" i="10"/>
  <c r="G65" i="10"/>
  <c r="G66" i="10"/>
  <c r="G67" i="10"/>
  <c r="G68" i="10"/>
  <c r="G69" i="10"/>
  <c r="G70" i="10"/>
  <c r="G71" i="10"/>
  <c r="G72" i="10"/>
  <c r="G73" i="10"/>
  <c r="G74" i="10"/>
  <c r="G75" i="10"/>
  <c r="G76" i="10"/>
  <c r="G77" i="10"/>
  <c r="G78" i="10"/>
  <c r="G79" i="10"/>
  <c r="G80" i="10"/>
  <c r="G81" i="10"/>
  <c r="G82" i="10"/>
  <c r="G83" i="10"/>
  <c r="G84" i="10"/>
  <c r="G85" i="10"/>
  <c r="G86" i="10"/>
  <c r="G87" i="10"/>
  <c r="G88" i="10"/>
  <c r="G89" i="10"/>
  <c r="G90" i="10"/>
  <c r="G91" i="10"/>
  <c r="G92" i="10"/>
  <c r="G93" i="10"/>
  <c r="G94" i="10"/>
  <c r="G95" i="10"/>
  <c r="G96" i="10"/>
  <c r="G97" i="10"/>
  <c r="G98" i="10"/>
  <c r="G99" i="10"/>
  <c r="G100" i="10"/>
  <c r="G101" i="10"/>
  <c r="G102" i="10"/>
  <c r="G103" i="10"/>
  <c r="G104" i="10"/>
  <c r="G105" i="10"/>
  <c r="G106" i="10"/>
  <c r="G107" i="10"/>
  <c r="G108" i="10"/>
  <c r="G109" i="10"/>
  <c r="G110" i="10"/>
  <c r="G111" i="10"/>
  <c r="G112" i="10"/>
  <c r="G113" i="10"/>
  <c r="G114" i="10"/>
  <c r="G115" i="10"/>
  <c r="G116" i="10"/>
  <c r="G117" i="10"/>
  <c r="G118" i="10"/>
  <c r="G119" i="10"/>
  <c r="G120" i="10"/>
  <c r="G121" i="10"/>
  <c r="G122" i="10"/>
  <c r="G123" i="10"/>
  <c r="G124" i="10"/>
  <c r="G125" i="10"/>
  <c r="G126" i="10"/>
  <c r="G127" i="10"/>
  <c r="G128" i="10"/>
  <c r="G129" i="10"/>
  <c r="G130" i="10"/>
  <c r="G131" i="10"/>
  <c r="G132" i="10"/>
  <c r="G133" i="10"/>
  <c r="G134" i="10"/>
  <c r="G135" i="10"/>
  <c r="G136" i="10"/>
  <c r="G137" i="10"/>
  <c r="G138" i="10"/>
  <c r="G139" i="10"/>
  <c r="G140" i="10"/>
  <c r="G141" i="10"/>
  <c r="G142" i="10"/>
  <c r="G143" i="10"/>
  <c r="G144" i="10"/>
  <c r="G145" i="10"/>
  <c r="G146" i="10"/>
  <c r="G147" i="10"/>
  <c r="G148" i="10"/>
  <c r="G149" i="10"/>
  <c r="G150" i="10"/>
  <c r="G151" i="10"/>
  <c r="G152" i="10"/>
  <c r="G153" i="10"/>
  <c r="G154" i="10"/>
  <c r="G155" i="10"/>
  <c r="G156" i="10"/>
  <c r="G157" i="10"/>
  <c r="G158" i="10"/>
  <c r="G159" i="10"/>
  <c r="G160" i="10"/>
  <c r="G161" i="10"/>
  <c r="G162" i="10"/>
  <c r="G163" i="10"/>
  <c r="G164" i="10"/>
  <c r="G165" i="10"/>
  <c r="G166" i="10"/>
  <c r="G167" i="10"/>
  <c r="G168" i="10"/>
  <c r="G169" i="10"/>
  <c r="G170" i="10"/>
  <c r="G171" i="10"/>
  <c r="G172" i="10"/>
  <c r="G173" i="10"/>
  <c r="G174" i="10"/>
  <c r="G175" i="10"/>
  <c r="G176" i="10"/>
  <c r="G177" i="10"/>
  <c r="G178" i="10"/>
  <c r="G179" i="10"/>
  <c r="G180" i="10"/>
  <c r="G181" i="10"/>
  <c r="G182" i="10"/>
  <c r="G183" i="10"/>
  <c r="G184" i="10"/>
  <c r="G185" i="10"/>
  <c r="G186" i="10"/>
  <c r="G187" i="10"/>
  <c r="G188" i="10"/>
  <c r="G189" i="10"/>
  <c r="G190" i="10"/>
  <c r="G191" i="10"/>
  <c r="G192" i="10"/>
  <c r="G193" i="10"/>
  <c r="G194" i="10"/>
  <c r="G195" i="10"/>
  <c r="G196" i="10"/>
  <c r="G197" i="10"/>
  <c r="G198" i="10"/>
  <c r="G200" i="10"/>
  <c r="G201" i="10"/>
  <c r="G202" i="10"/>
  <c r="G203" i="10"/>
  <c r="G204" i="10"/>
  <c r="G205" i="10"/>
  <c r="G206" i="10"/>
  <c r="G207" i="10"/>
  <c r="G208" i="10"/>
  <c r="G209" i="10"/>
  <c r="G210" i="10"/>
  <c r="G211" i="10"/>
  <c r="G212" i="10"/>
  <c r="G213" i="10"/>
  <c r="R59" i="3"/>
  <c r="Q59" i="3"/>
  <c r="O59" i="3"/>
  <c r="M59" i="3"/>
  <c r="H59" i="3"/>
  <c r="F59" i="3"/>
  <c r="D59" i="3"/>
  <c r="R58" i="3"/>
  <c r="Q58" i="3"/>
  <c r="O58" i="3"/>
  <c r="M58" i="3"/>
  <c r="H58" i="3"/>
  <c r="F58" i="3"/>
  <c r="D58" i="3"/>
  <c r="R56" i="3"/>
  <c r="Q56" i="3"/>
  <c r="O56" i="3"/>
  <c r="M56" i="3"/>
  <c r="H56" i="3"/>
  <c r="F56" i="3"/>
  <c r="D56" i="3"/>
  <c r="R55" i="3"/>
  <c r="Q55" i="3"/>
  <c r="O55" i="3"/>
  <c r="M55" i="3"/>
  <c r="H55" i="3"/>
  <c r="F55" i="3"/>
  <c r="D55" i="3"/>
  <c r="R54" i="3"/>
  <c r="Q54" i="3"/>
  <c r="O54" i="3"/>
  <c r="H54" i="3"/>
  <c r="F54" i="3"/>
  <c r="D54" i="3"/>
  <c r="R53" i="3"/>
  <c r="Q53" i="3"/>
  <c r="O53" i="3"/>
  <c r="H53" i="3"/>
  <c r="F53" i="3"/>
  <c r="D53" i="3"/>
  <c r="R52" i="3"/>
  <c r="Q52" i="3"/>
  <c r="O52" i="3"/>
  <c r="H52" i="3"/>
  <c r="F52" i="3"/>
  <c r="D52" i="3"/>
  <c r="R51" i="3"/>
  <c r="Q51" i="3"/>
  <c r="O51" i="3"/>
  <c r="M51" i="3"/>
  <c r="H51" i="3"/>
  <c r="F51" i="3"/>
  <c r="D51" i="3"/>
  <c r="V40" i="3"/>
  <c r="Q47" i="3"/>
  <c r="Q41" i="3"/>
  <c r="Q42" i="3"/>
  <c r="Q43" i="3"/>
  <c r="Q44" i="3"/>
  <c r="Q45" i="3"/>
  <c r="Q46" i="3"/>
  <c r="V41" i="3"/>
  <c r="V42" i="3"/>
  <c r="V43" i="3"/>
  <c r="V44" i="3"/>
  <c r="V45" i="3"/>
  <c r="V46" i="3"/>
  <c r="V47" i="3"/>
  <c r="U41" i="3"/>
  <c r="U42" i="3"/>
  <c r="U43" i="3"/>
  <c r="U44" i="3"/>
  <c r="U45" i="3"/>
  <c r="U46" i="3"/>
  <c r="U47" i="3"/>
  <c r="U40" i="3"/>
  <c r="S41" i="3"/>
  <c r="S42" i="3"/>
  <c r="S43" i="3"/>
  <c r="S44" i="3"/>
  <c r="S45" i="3"/>
  <c r="S46" i="3"/>
  <c r="S47" i="3"/>
  <c r="S40" i="3"/>
  <c r="Q40" i="3"/>
  <c r="T57" i="3" l="1"/>
  <c r="S57" i="3"/>
  <c r="S51" i="3"/>
  <c r="S53" i="3"/>
  <c r="T53" i="3"/>
  <c r="T54" i="3"/>
  <c r="T55" i="3"/>
  <c r="S56" i="3"/>
  <c r="S58" i="3"/>
  <c r="T52" i="3"/>
  <c r="S52" i="3"/>
  <c r="T56" i="3"/>
  <c r="S55" i="3"/>
  <c r="T59" i="3"/>
  <c r="S59" i="3"/>
  <c r="T51" i="3"/>
  <c r="S54" i="3"/>
  <c r="T58" i="3"/>
  <c r="H41" i="3"/>
  <c r="W41" i="3" s="1"/>
  <c r="H42" i="3"/>
  <c r="W42" i="3" s="1"/>
  <c r="H43" i="3"/>
  <c r="W43" i="3" s="1"/>
  <c r="H44" i="3"/>
  <c r="W44" i="3" s="1"/>
  <c r="H45" i="3"/>
  <c r="W45" i="3" s="1"/>
  <c r="H46" i="3"/>
  <c r="W46" i="3" s="1"/>
  <c r="H47" i="3"/>
  <c r="W47" i="3" s="1"/>
  <c r="F41" i="3"/>
  <c r="F42" i="3"/>
  <c r="F43" i="3"/>
  <c r="F44" i="3"/>
  <c r="F45" i="3"/>
  <c r="F46" i="3"/>
  <c r="F47" i="3"/>
  <c r="D42" i="3"/>
  <c r="J42" i="3"/>
  <c r="L42" i="3"/>
  <c r="N42" i="3"/>
  <c r="D47" i="3"/>
  <c r="N41" i="3"/>
  <c r="N43" i="3"/>
  <c r="N44" i="3"/>
  <c r="N45" i="3"/>
  <c r="N46" i="3"/>
  <c r="N47" i="3"/>
  <c r="N40" i="3"/>
  <c r="L41" i="3"/>
  <c r="L43" i="3"/>
  <c r="L44" i="3"/>
  <c r="L45" i="3"/>
  <c r="L46" i="3"/>
  <c r="L47" i="3"/>
  <c r="L40" i="3"/>
  <c r="J41" i="3"/>
  <c r="J43" i="3"/>
  <c r="J44" i="3"/>
  <c r="J45" i="3"/>
  <c r="J46" i="3"/>
  <c r="J47" i="3"/>
  <c r="J40" i="3"/>
  <c r="H40" i="3"/>
  <c r="W40" i="3" s="1"/>
  <c r="F40" i="3"/>
  <c r="D41" i="3"/>
  <c r="D43" i="3"/>
  <c r="D44" i="3"/>
  <c r="D45" i="3"/>
  <c r="D46" i="3"/>
  <c r="D40" i="3"/>
  <c r="N35" i="3"/>
  <c r="M35" i="3"/>
  <c r="K35" i="3"/>
  <c r="I35" i="3"/>
  <c r="G35" i="3"/>
  <c r="E35" i="3"/>
  <c r="N34" i="3"/>
  <c r="M34" i="3"/>
  <c r="K34" i="3"/>
  <c r="I34" i="3"/>
  <c r="G34" i="3"/>
  <c r="E34" i="3"/>
  <c r="N33" i="3"/>
  <c r="M33" i="3"/>
  <c r="K33" i="3"/>
  <c r="I33" i="3"/>
  <c r="G33" i="3"/>
  <c r="E33" i="3"/>
  <c r="N32" i="3"/>
  <c r="M32" i="3"/>
  <c r="K32" i="3"/>
  <c r="I32" i="3"/>
  <c r="G32" i="3"/>
  <c r="E32" i="3"/>
  <c r="N31" i="3"/>
  <c r="M31" i="3"/>
  <c r="K31" i="3"/>
  <c r="I31" i="3"/>
  <c r="G31" i="3"/>
  <c r="E31" i="3"/>
  <c r="N30" i="3"/>
  <c r="M30" i="3"/>
  <c r="K30" i="3"/>
  <c r="I30" i="3"/>
  <c r="G30" i="3"/>
  <c r="E30" i="3"/>
  <c r="N29" i="3"/>
  <c r="M29" i="3"/>
  <c r="K29" i="3"/>
  <c r="I29" i="3"/>
  <c r="G29" i="3"/>
  <c r="E29" i="3"/>
  <c r="N28" i="3"/>
  <c r="M28" i="3"/>
  <c r="K28" i="3"/>
  <c r="I28" i="3"/>
  <c r="G28" i="3"/>
  <c r="E28" i="3"/>
  <c r="O23" i="3"/>
  <c r="N23" i="3"/>
  <c r="L23" i="3"/>
  <c r="J23" i="3"/>
  <c r="H23" i="3"/>
  <c r="F23" i="3"/>
  <c r="D23" i="3"/>
  <c r="O22" i="3"/>
  <c r="N22" i="3"/>
  <c r="L22" i="3"/>
  <c r="J22" i="3"/>
  <c r="H22" i="3"/>
  <c r="F22" i="3"/>
  <c r="D22" i="3"/>
  <c r="O21" i="3"/>
  <c r="N21" i="3"/>
  <c r="L21" i="3"/>
  <c r="J21" i="3"/>
  <c r="H21" i="3"/>
  <c r="F21" i="3"/>
  <c r="D21" i="3"/>
  <c r="O20" i="3"/>
  <c r="N20" i="3"/>
  <c r="L20" i="3"/>
  <c r="J20" i="3"/>
  <c r="H20" i="3"/>
  <c r="F20" i="3"/>
  <c r="D20" i="3"/>
  <c r="O19" i="3"/>
  <c r="N19" i="3"/>
  <c r="L19" i="3"/>
  <c r="J19" i="3"/>
  <c r="H19" i="3"/>
  <c r="F19" i="3"/>
  <c r="D19" i="3"/>
  <c r="O18" i="3"/>
  <c r="N18" i="3"/>
  <c r="L18" i="3"/>
  <c r="J18" i="3"/>
  <c r="H18" i="3"/>
  <c r="F18" i="3"/>
  <c r="D18" i="3"/>
  <c r="O17" i="3"/>
  <c r="N17" i="3"/>
  <c r="L17" i="3"/>
  <c r="J17" i="3"/>
  <c r="H17" i="3"/>
  <c r="F17" i="3"/>
  <c r="D17" i="3"/>
  <c r="O16" i="3"/>
  <c r="N16" i="3"/>
  <c r="L16" i="3"/>
  <c r="J16" i="3"/>
  <c r="H16" i="3"/>
  <c r="F16" i="3"/>
  <c r="D16" i="3"/>
  <c r="O15" i="3"/>
  <c r="N15" i="3"/>
  <c r="L15" i="3"/>
  <c r="J15" i="3"/>
  <c r="H15" i="3"/>
  <c r="E15" i="3"/>
  <c r="F15" i="3" s="1"/>
  <c r="D15" i="3"/>
  <c r="E11" i="3"/>
  <c r="D11" i="3"/>
  <c r="C11" i="3"/>
  <c r="E9" i="3"/>
  <c r="D9" i="3"/>
  <c r="C9" i="3"/>
  <c r="E7" i="3"/>
  <c r="D7" i="3"/>
  <c r="C7" i="3"/>
  <c r="K4" i="3"/>
  <c r="J4" i="3"/>
  <c r="I4" i="3"/>
  <c r="K3" i="3"/>
  <c r="J3" i="3"/>
  <c r="I3" i="3"/>
  <c r="E3" i="3"/>
  <c r="D3" i="3"/>
  <c r="C3" i="3"/>
  <c r="L2" i="3"/>
  <c r="P17" i="3" l="1"/>
  <c r="P21" i="3"/>
  <c r="P16" i="3"/>
  <c r="P22" i="3"/>
  <c r="P20" i="3"/>
  <c r="P19" i="3"/>
  <c r="P18" i="3"/>
  <c r="P23" i="3"/>
  <c r="P15" i="3"/>
</calcChain>
</file>

<file path=xl/sharedStrings.xml><?xml version="1.0" encoding="utf-8"?>
<sst xmlns="http://schemas.openxmlformats.org/spreadsheetml/2006/main" count="6140" uniqueCount="369">
  <si>
    <t>Names</t>
  </si>
  <si>
    <t>Tag</t>
  </si>
  <si>
    <t>Name</t>
  </si>
  <si>
    <t>GroundTruth</t>
  </si>
  <si>
    <t>Ashared</t>
  </si>
  <si>
    <t>Ashared-Matched</t>
  </si>
  <si>
    <t>Connect</t>
  </si>
  <si>
    <t>Connect-Matced</t>
  </si>
  <si>
    <t>Deep</t>
  </si>
  <si>
    <t>Deep-Macthed</t>
  </si>
  <si>
    <t>Dumb</t>
  </si>
  <si>
    <t>Dumb-Matched</t>
  </si>
  <si>
    <t>Shallow</t>
  </si>
  <si>
    <t>Shallow-Matched</t>
  </si>
  <si>
    <t>Shared</t>
  </si>
  <si>
    <t>Shared-Matched</t>
  </si>
  <si>
    <t>Considered</t>
  </si>
  <si>
    <t>CallContext</t>
  </si>
  <si>
    <t>explicit-flows/simple/</t>
  </si>
  <si>
    <t>Secure</t>
  </si>
  <si>
    <t>Aliasing-ControlFlow-Insecure</t>
  </si>
  <si>
    <t>aliasing/implicit-flows/</t>
  </si>
  <si>
    <t>Insecure</t>
  </si>
  <si>
    <t>Yes</t>
  </si>
  <si>
    <t>Aliasing-ControlFlow-secure</t>
  </si>
  <si>
    <t>No</t>
  </si>
  <si>
    <t>value-insensitive</t>
  </si>
  <si>
    <t>Aliasing-InterProcedural-Insecure</t>
  </si>
  <si>
    <t>explicit-flows/aliasing/</t>
  </si>
  <si>
    <t>Ignored</t>
  </si>
  <si>
    <t>Aliasing-InterProcedural-secure</t>
  </si>
  <si>
    <t>Aliasing-Nested-Insecure</t>
  </si>
  <si>
    <t>aliasing/explicit-flows/</t>
  </si>
  <si>
    <t>Aliasing-Nested-secure</t>
  </si>
  <si>
    <t>field-insensitive</t>
  </si>
  <si>
    <t>Aliasing-Simple-Insecure</t>
  </si>
  <si>
    <t>Aliasing-Simple-secure</t>
  </si>
  <si>
    <t>Aliasing-StrongUpdate-secure</t>
  </si>
  <si>
    <t>ArrayCopyDirectLeak</t>
  </si>
  <si>
    <t>explicit-flows/arrays/</t>
  </si>
  <si>
    <t>ArrayIndexException-Insecure</t>
  </si>
  <si>
    <t>implicit-flows/arrays/exceptions/</t>
  </si>
  <si>
    <t>ArrayIndexException-secure</t>
  </si>
  <si>
    <t>Missing</t>
  </si>
  <si>
    <t>Ok after manual fix</t>
  </si>
  <si>
    <t>ArrayIndexSensitivity-secure</t>
  </si>
  <si>
    <t>arrays/explicit-flows/</t>
  </si>
  <si>
    <t>Indeed we're insensitive to array indexes</t>
  </si>
  <si>
    <t>Arrays-ImplicitLeak-Insecure</t>
  </si>
  <si>
    <t>arrays/implicit-flows/</t>
  </si>
  <si>
    <t>Arrays-ImplicitLeak-secure</t>
  </si>
  <si>
    <t>Harder to deal with</t>
  </si>
  <si>
    <t>ArraySizeStrongUpdate</t>
  </si>
  <si>
    <t>Diff results with</t>
  </si>
  <si>
    <t>Supposed to be secure, but actually leaks sign of secret via exception; secure for all domains if exceptions are ignored</t>
  </si>
  <si>
    <t>BooleanOperations-Insecure</t>
  </si>
  <si>
    <t>BooleanOperations-secure</t>
  </si>
  <si>
    <t>ConditionalLekage</t>
  </si>
  <si>
    <t>implicit-flows/exceptions/</t>
  </si>
  <si>
    <t>Deepalias1</t>
  </si>
  <si>
    <t>Needs inlining</t>
  </si>
  <si>
    <t>Deepalias2</t>
  </si>
  <si>
    <t>Deepcall1</t>
  </si>
  <si>
    <t>Deepcall2</t>
  </si>
  <si>
    <t>DirectAssignment</t>
  </si>
  <si>
    <t>DirectAssignment-secure</t>
  </si>
  <si>
    <t>DirectAssignmentLeak</t>
  </si>
  <si>
    <t>ExceptionalControlFlow1-Insecure</t>
  </si>
  <si>
    <t>exceptions/implicit-flows/</t>
  </si>
  <si>
    <t>Correctly detected insecure by all domans after removing call this#program$T() in constructor; missing secstub? wrong specialinvoke? Also need adding sink in program:main</t>
  </si>
  <si>
    <t>ExceptionalControlFlow1-secure</t>
  </si>
  <si>
    <t>ExceptionalControlFlow1-Secure</t>
  </si>
  <si>
    <t>Correctly detected secure after removing call this#program$T() in constructor; missing secstub? wrong specialinvoke? Also need adding sink in program:main</t>
  </si>
  <si>
    <t>ExceptionalControlFlow2-secure</t>
  </si>
  <si>
    <t>ExceptionDivZero</t>
  </si>
  <si>
    <t>insecure</t>
  </si>
  <si>
    <t>Div by zero exception not supported yet... too bad that's actually easy</t>
  </si>
  <si>
    <t>ExceptionHandling</t>
  </si>
  <si>
    <t>Strange code without source or sink</t>
  </si>
  <si>
    <t>HighConditionalIncrementalLeak-Insecure</t>
  </si>
  <si>
    <t>implicit-flows/high-conditional/</t>
  </si>
  <si>
    <t>HighConditionalIncrementalLeak-secure</t>
  </si>
  <si>
    <t>Check whether l1 Is the first or the second par</t>
  </si>
  <si>
    <t>IFLoop</t>
  </si>
  <si>
    <t>explicit-flows/high-conditional/</t>
  </si>
  <si>
    <t>Manually add sink statement in main</t>
  </si>
  <si>
    <t>IFLoop2</t>
  </si>
  <si>
    <t>explicit-flows/</t>
  </si>
  <si>
    <t>IFMethodContract</t>
  </si>
  <si>
    <t>IFMethodContract2</t>
  </si>
  <si>
    <t>ImplicitListSizeLeak</t>
  </si>
  <si>
    <t>implicit-flows/library/</t>
  </si>
  <si>
    <t>ImplicitListSizeNoLeak</t>
  </si>
  <si>
    <t>LostInCast</t>
  </si>
  <si>
    <t>ObjectSensLeak</t>
  </si>
  <si>
    <t>Remove doPrint from method lists and make it a sink</t>
  </si>
  <si>
    <t>PasswordChecker</t>
  </si>
  <si>
    <t>library/implicit-flows/</t>
  </si>
  <si>
    <t>getter/setter</t>
  </si>
  <si>
    <t>Polynomial</t>
  </si>
  <si>
    <t>implicit-flows/simple/</t>
  </si>
  <si>
    <t>ReviewerAnonymity-Leak</t>
  </si>
  <si>
    <t>ReviewerAnonymity-NoLeak</t>
  </si>
  <si>
    <t>Field-sensitivity + order in list: out of reach</t>
  </si>
  <si>
    <t>ScenarioBanking-Insecure</t>
  </si>
  <si>
    <t>Would be ok with exceptions if we had a device to ensure some fields are not null.</t>
  </si>
  <si>
    <t>ScenarioBanking-Secure</t>
  </si>
  <si>
    <t>ScenarioPasswordInsecure</t>
  </si>
  <si>
    <t>OK with new dummy source methods</t>
  </si>
  <si>
    <t>ScenarioPasswordSecure</t>
  </si>
  <si>
    <t>SecuriBench-Aliasing1</t>
  </si>
  <si>
    <t>SecuriBench-Aliasing2</t>
  </si>
  <si>
    <t>SecuriBench-Aliasing3</t>
  </si>
  <si>
    <t>Different results (ok, down to symmetry of captured relations)</t>
  </si>
  <si>
    <t>NB: I think this one is actually secure</t>
  </si>
  <si>
    <t>SecuriBench-Aliasing4</t>
  </si>
  <si>
    <t>explicit-flows/library/</t>
  </si>
  <si>
    <t>SecuriBench-Aliasing4-secure</t>
  </si>
  <si>
    <t>SecuriBench-Aliasing5</t>
  </si>
  <si>
    <t>explicit-flows/library/aliasing/</t>
  </si>
  <si>
    <t>SecuriBench-Aliasing6</t>
  </si>
  <si>
    <t>SecuriBench-Arrays1</t>
  </si>
  <si>
    <t>SecuriBench-Arrays10</t>
  </si>
  <si>
    <t>SecuriBench-Arrays10-secure</t>
  </si>
  <si>
    <t>index insensitivity</t>
  </si>
  <si>
    <t>SecuriBench-Arrays2</t>
  </si>
  <si>
    <t>SecuriBench-Arrays2-secure</t>
  </si>
  <si>
    <t>SecuriBench-Arrays3</t>
  </si>
  <si>
    <t>SecuriBench-Arrays3-secure</t>
  </si>
  <si>
    <t>SecuriBench-Arrays4</t>
  </si>
  <si>
    <t>SecuriBench-Arrays5</t>
  </si>
  <si>
    <t>SecuriBench-Arrays6</t>
  </si>
  <si>
    <t>SecuriBench-Arrays7</t>
  </si>
  <si>
    <t>SecuriBench-Arrays8</t>
  </si>
  <si>
    <t>SecuriBench-Arrays8-secure</t>
  </si>
  <si>
    <t>SecuriBench-Arrays9</t>
  </si>
  <si>
    <t>SecuriBench-Basic1</t>
  </si>
  <si>
    <t>SecuriBench-Basic10</t>
  </si>
  <si>
    <t>SecuriBench-Basic11</t>
  </si>
  <si>
    <t>SecuriBench-Basic11-secure</t>
  </si>
  <si>
    <t>SecuriBench-Basic12</t>
  </si>
  <si>
    <t>SecuriBench-Basic12-secure</t>
  </si>
  <si>
    <t>SecuriBench-Basic13</t>
  </si>
  <si>
    <t>SecuriBench-Basic14</t>
  </si>
  <si>
    <t>library/explicit-flows/</t>
  </si>
  <si>
    <t>SecuriBench-Basic15</t>
  </si>
  <si>
    <t>SecuriBench-Basic16</t>
  </si>
  <si>
    <t>SecuriBench-Basic17</t>
  </si>
  <si>
    <t>SecuriBench-Basic17-secure</t>
  </si>
  <si>
    <t>Class nesting: hidden field `this$0' that makes every instance of nested class share the main instance object (ok if nested class is static)</t>
  </si>
  <si>
    <t>SecuriBench-Basic18</t>
  </si>
  <si>
    <t>SecuriBench-Basic19</t>
  </si>
  <si>
    <t>Need to treat prepareStatement as a sink</t>
  </si>
  <si>
    <t>SecuriBench-Basic2</t>
  </si>
  <si>
    <t>SecuriBench-Basic20</t>
  </si>
  <si>
    <t>Taint Checking</t>
  </si>
  <si>
    <t>Ok and fast after simple simplifications: avoiding duplication of reference variables in exception handlers, removal of a reference of type java.lang.Object and direct casting upon method calls</t>
  </si>
  <si>
    <t>SecuriBench-Basic22</t>
  </si>
  <si>
    <t>SecuriBench-Basic23</t>
  </si>
  <si>
    <t>SecuriBench-Basic24</t>
  </si>
  <si>
    <t>SecuriBench-Basic25</t>
  </si>
  <si>
    <t>explicit-flows/arrays/library/</t>
  </si>
  <si>
    <t>SecuriBench-Basic26</t>
  </si>
  <si>
    <t>library/library/explicit-flows/</t>
  </si>
  <si>
    <t>SecuriBench-Basic27</t>
  </si>
  <si>
    <t>SecuriBench-Basic28</t>
  </si>
  <si>
    <t>SecuriBench-Basic29</t>
  </si>
  <si>
    <t>SecuriBench-Basic29-secure</t>
  </si>
  <si>
    <t>SecuriBench-Basic3</t>
  </si>
  <si>
    <t>SecuriBench-Basic30</t>
  </si>
  <si>
    <t>SecuriBench-Basic30-secure</t>
  </si>
  <si>
    <t>SecuriBench-Basic31</t>
  </si>
  <si>
    <t>SecuriBench-Basic32</t>
  </si>
  <si>
    <t>SecuriBench-Basic33</t>
  </si>
  <si>
    <t>SecuriBench-Basic34</t>
  </si>
  <si>
    <t>SecuriBench-Basic35</t>
  </si>
  <si>
    <t>SecuriBench-Basic36</t>
  </si>
  <si>
    <t>Assume getInputStream returns a high value (a policy var is also workable here)</t>
  </si>
  <si>
    <t>SecuriBench-Basic37</t>
  </si>
  <si>
    <t>SecuriBench-Basic38</t>
  </si>
  <si>
    <t>SecuriBench-Basic38-secure</t>
  </si>
  <si>
    <t>I think that one leaks number of "\t" in secret via implcit flow</t>
  </si>
  <si>
    <t xml:space="preserve">Condition on `hasMoreTockens'? </t>
  </si>
  <si>
    <t>SecuriBench-Basic39</t>
  </si>
  <si>
    <t>SecuriBench-Basic4</t>
  </si>
  <si>
    <t>Manually Change the type casting problems</t>
  </si>
  <si>
    <t>SecuriBench-Basic40</t>
  </si>
  <si>
    <t>SecuriBench-Basic41</t>
  </si>
  <si>
    <t>SecuriBench-Basic42</t>
  </si>
  <si>
    <t>SecuriBench-Basic5</t>
  </si>
  <si>
    <t>SecuriBench-Basic6</t>
  </si>
  <si>
    <t>SecuriBench-Basic7</t>
  </si>
  <si>
    <t>SecuriBench-Basic8</t>
  </si>
  <si>
    <t>SecuriBench-Basic9</t>
  </si>
  <si>
    <t>SecuriBench-Collections1</t>
  </si>
  <si>
    <t>SecuriBench-Collections10</t>
  </si>
  <si>
    <t>SecuriBench-Collections10-secure</t>
  </si>
  <si>
    <t>Secure for share and ashare unless exceptions are enabled</t>
  </si>
  <si>
    <t>SecuriBench-Collections11</t>
  </si>
  <si>
    <t xml:space="preserve">Needs inlining, Interprocedural; Manually added javax.servlet.http.HttpServletResponse &lt;: javax.servlet.ServletResponse </t>
  </si>
  <si>
    <t>SecuriBench-Collections12</t>
  </si>
  <si>
    <t>SecuriBench-Collections13</t>
  </si>
  <si>
    <t>Ok without exceptions</t>
  </si>
  <si>
    <t>SecuriBench-Collections13-secure</t>
  </si>
  <si>
    <t xml:space="preserve">Actually leaky I think; removing the leak (second output in doGet is detected as secure by share and ashare only) </t>
  </si>
  <si>
    <t>SecuriBench-Collections14</t>
  </si>
  <si>
    <t>SecuriBench-Collections2</t>
  </si>
  <si>
    <t>SecuriBench-Collections2-secure</t>
  </si>
  <si>
    <t>Ok by assuming the casts to strings are safe (same transformation still makes the one above insecure)</t>
  </si>
  <si>
    <t>SecuriBench-Collections3</t>
  </si>
  <si>
    <t>SecuriBench-Collections4</t>
  </si>
  <si>
    <t>SecuriBench-Collections5</t>
  </si>
  <si>
    <t>SecuriBench-Collections6</t>
  </si>
  <si>
    <t>SecuriBench-Collections6-secure</t>
  </si>
  <si>
    <t>field-insensitivity</t>
  </si>
  <si>
    <t>SecuriBench-Collections7</t>
  </si>
  <si>
    <t>SecuriBench-Collections7-secure</t>
  </si>
  <si>
    <t>SecuriBench-Collections8</t>
  </si>
  <si>
    <t>SecuriBench-Collections9</t>
  </si>
  <si>
    <t>Needed correct secstub for retainAll</t>
  </si>
  <si>
    <t>SecuriBench-Datastructures1</t>
  </si>
  <si>
    <t>SecuriBench-Datastructures1-secure</t>
  </si>
  <si>
    <t>SecuriBench-Datastructures2</t>
  </si>
  <si>
    <t>SecuriBench-Datastructures2-secure</t>
  </si>
  <si>
    <t>Sharing of main object due to nested class (ok if static nested class)</t>
  </si>
  <si>
    <t>SecuriBench-Datastructures3</t>
  </si>
  <si>
    <t>SecuriBench-Datastructures4</t>
  </si>
  <si>
    <t>SecuriBench-Datastructures5</t>
  </si>
  <si>
    <t>SecuriBench-Datastructures6</t>
  </si>
  <si>
    <t>SecuriBench-Factories1</t>
  </si>
  <si>
    <t>SecuriBench-Factories1-secure</t>
  </si>
  <si>
    <t>SecuriBench-Factories2</t>
  </si>
  <si>
    <t>SecuriBench-Factories2-secure</t>
  </si>
  <si>
    <t>SecuriBench-Factories3</t>
  </si>
  <si>
    <t>SecuriBench-Factories3-secure</t>
  </si>
  <si>
    <t>SecuriBench-Inter1</t>
  </si>
  <si>
    <t>Interprocedural</t>
  </si>
  <si>
    <t>SecuriBench-Inter1-secure</t>
  </si>
  <si>
    <t>SecuriBench-Inter10</t>
  </si>
  <si>
    <t>SecuriBench-Inter10-secure</t>
  </si>
  <si>
    <t>SecuriBench-Inter11</t>
  </si>
  <si>
    <t>SecuriBench-Inter11-secure</t>
  </si>
  <si>
    <t>SecuriBench-Inter12</t>
  </si>
  <si>
    <t>explicit-flows/library/library/</t>
  </si>
  <si>
    <t>static fields… sound with -tf evil_statics</t>
  </si>
  <si>
    <t>SecuriBench-Inter12-secure</t>
  </si>
  <si>
    <t>static fields… sound with -tf evil_statics, i.e, categorized as insecure</t>
  </si>
  <si>
    <t>SecuriBench-Inter13</t>
  </si>
  <si>
    <t>SecuriBench-Inter14</t>
  </si>
  <si>
    <t>SecuriBench-Inter2</t>
  </si>
  <si>
    <t>SecuriBench-Inter2-secure</t>
  </si>
  <si>
    <t>SecuriBench-Inter3</t>
  </si>
  <si>
    <t>SecuriBench-Inter3-secure</t>
  </si>
  <si>
    <t>SecuriBench-Inter4</t>
  </si>
  <si>
    <t>SecuriBench-Inter5</t>
  </si>
  <si>
    <t>SecuriBench-Inter5-secure</t>
  </si>
  <si>
    <t>SecuriBench-Inter6</t>
  </si>
  <si>
    <t>Unsound</t>
  </si>
  <si>
    <t>static initializer</t>
  </si>
  <si>
    <t>SecuriBench-Inter7</t>
  </si>
  <si>
    <t>SecuriBench-Inter8</t>
  </si>
  <si>
    <t>SecuriBench-Inter8-secure</t>
  </si>
  <si>
    <t>SecuriBench-Inter9</t>
  </si>
  <si>
    <t>SecuriBench-Inter9-secure</t>
  </si>
  <si>
    <t>SecuriBench-Pred1</t>
  </si>
  <si>
    <t>SecuriBench-Pred2</t>
  </si>
  <si>
    <t>SecuriBench-Pred3</t>
  </si>
  <si>
    <t>SecuriBench-Pred4</t>
  </si>
  <si>
    <t>SecuriBench-Pred5</t>
  </si>
  <si>
    <t>SecuriBench-Pred6</t>
  </si>
  <si>
    <t>SecuriBench-Pred7</t>
  </si>
  <si>
    <t>SecuriBench-Pred8</t>
  </si>
  <si>
    <t>SecuriBench-Pred9</t>
  </si>
  <si>
    <t>SecuriBench-Sanitizers1</t>
  </si>
  <si>
    <t>needs inlining</t>
  </si>
  <si>
    <t>SecuriBench-Sanitizers2</t>
  </si>
  <si>
    <t>SecuriBench-Sanitizers3</t>
  </si>
  <si>
    <t>Share needs correct secstub for URLencoder:encode</t>
  </si>
  <si>
    <t>SecuriBench-Sanitizers4</t>
  </si>
  <si>
    <t>SecuriBench-Sanitizers5</t>
  </si>
  <si>
    <t>SecuriBench-Sanitizers6</t>
  </si>
  <si>
    <t>Unless clean is marked as secure via some secstub.</t>
  </si>
  <si>
    <t>SecuriBench-Session1</t>
  </si>
  <si>
    <t>SecuriBench-Session2</t>
  </si>
  <si>
    <t>SecuriBench-Session2-secure</t>
  </si>
  <si>
    <t>Here name of fields matter a fit too much to be an interesting case</t>
  </si>
  <si>
    <t>SecuriBench-Session3</t>
  </si>
  <si>
    <t>SecuriBench-StrongUpdates1</t>
  </si>
  <si>
    <t>SecuriBench-StrongUpdates2</t>
  </si>
  <si>
    <t>SecuriBench-StrongUpdates3</t>
  </si>
  <si>
    <t>SecuriBench-StrongUpdates4</t>
  </si>
  <si>
    <t>SecuriBench-StrongUpdates5</t>
  </si>
  <si>
    <t>simpleArraySize</t>
  </si>
  <si>
    <t>simpleConditionalAssignmentEqual</t>
  </si>
  <si>
    <t>simpleErasureByConditionalChecks</t>
  </si>
  <si>
    <t>simpleListSize</t>
  </si>
  <si>
    <t>simpleListToArraySize</t>
  </si>
  <si>
    <t>Manually Change the byte code due to the error in type casting by soot</t>
  </si>
  <si>
    <t>simpleRandomErasure1</t>
  </si>
  <si>
    <t>simpleRandomErasure2</t>
  </si>
  <si>
    <t>sanitization by adding a random number... interesting</t>
  </si>
  <si>
    <t>simpleTypes</t>
  </si>
  <si>
    <t>Add missing sink in main</t>
  </si>
  <si>
    <t>simpleTypesCastingError</t>
  </si>
  <si>
    <t>StaticDispatching</t>
  </si>
  <si>
    <t>setter getter</t>
  </si>
  <si>
    <t>StringIntern</t>
  </si>
  <si>
    <t>timebomb</t>
  </si>
  <si>
    <t>Webstore</t>
  </si>
  <si>
    <t>Webstore2</t>
  </si>
  <si>
    <t>Webstore3</t>
  </si>
  <si>
    <t>Webstore4</t>
  </si>
  <si>
    <t>Total</t>
  </si>
  <si>
    <t>Correctly Categorized (TP+TN)</t>
  </si>
  <si>
    <t>Incorrectly Categorized (FP +FN)</t>
  </si>
  <si>
    <t>Recall</t>
  </si>
  <si>
    <t>Field-Insensitive</t>
  </si>
  <si>
    <t>Collections</t>
  </si>
  <si>
    <t>Value</t>
  </si>
  <si>
    <t>Symmaries</t>
  </si>
  <si>
    <t>Key</t>
  </si>
  <si>
    <t>casandra</t>
  </si>
  <si>
    <t>Joana</t>
  </si>
  <si>
    <t>total checked by Symmaries</t>
  </si>
  <si>
    <t>Correct Categorization (TP+TN)</t>
  </si>
  <si>
    <t>precision</t>
  </si>
  <si>
    <t>Casandra</t>
  </si>
  <si>
    <t>Joana FN</t>
  </si>
  <si>
    <t>Joana Recall</t>
  </si>
  <si>
    <t>total no of samples</t>
  </si>
  <si>
    <t>Covered Percentage</t>
  </si>
  <si>
    <t>Improvement</t>
  </si>
  <si>
    <t>Explicit</t>
  </si>
  <si>
    <t>Implicit</t>
  </si>
  <si>
    <t>Simple</t>
  </si>
  <si>
    <t>High Conditional</t>
  </si>
  <si>
    <t>Arrays</t>
  </si>
  <si>
    <t>Exceptions</t>
  </si>
  <si>
    <t>Library</t>
  </si>
  <si>
    <t>Aliasing</t>
  </si>
  <si>
    <t>Total Corrects</t>
  </si>
  <si>
    <t>TP/TP+FN</t>
  </si>
  <si>
    <t>Total Number of Checked</t>
  </si>
  <si>
    <t>Connected</t>
  </si>
  <si>
    <t xml:space="preserve">Total </t>
  </si>
  <si>
    <t>NO</t>
  </si>
  <si>
    <t>dump</t>
  </si>
  <si>
    <t>shallow</t>
  </si>
  <si>
    <t>shared</t>
  </si>
  <si>
    <t>true pos</t>
  </si>
  <si>
    <t>false pos</t>
  </si>
  <si>
    <t>true neg</t>
  </si>
  <si>
    <t>unclear false pos</t>
  </si>
  <si>
    <t>unclear true pos</t>
  </si>
  <si>
    <t>false neg</t>
  </si>
  <si>
    <t>crashing true pos</t>
  </si>
  <si>
    <t>crashing false pos</t>
  </si>
  <si>
    <t>Key Precision</t>
  </si>
  <si>
    <t>Joana Precision</t>
  </si>
  <si>
    <t>Casandra Precision</t>
  </si>
  <si>
    <t>Diff</t>
  </si>
  <si>
    <t>VMCAI</t>
  </si>
  <si>
    <t>Main Paper</t>
  </si>
  <si>
    <t>example</t>
  </si>
  <si>
    <t>RIFL version</t>
  </si>
  <si>
    <t>outcome</t>
  </si>
  <si>
    <t>Diff SOA-Deep</t>
  </si>
  <si>
    <t>Diff SOA-Ashared</t>
  </si>
  <si>
    <t>Diff SOA-DUMB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</si>
</sst>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2"/>
      <color rgb="FF000000"/>
      <name val="Calibri"/>
    </font>
    <font>
      <b/>
      <sz val="12"/>
      <color rgb="FF000000"/>
      <name val="Calibri"/>
      <family val="2"/>
    </font>
    <font>
      <sz val="12"/>
      <color rgb="FFFF0000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name val="Calibri"/>
      <family val="2"/>
    </font>
    <font>
      <sz val="12"/>
      <color rgb="FF000000"/>
      <name val="Calibri"/>
      <family val="2"/>
    </font>
    <font>
      <sz val="10"/>
      <color rgb="FF000000"/>
      <name val="Helvetica Neue"/>
      <family val="2"/>
    </font>
    <font>
      <b/>
      <sz val="10"/>
      <color rgb="FF000000"/>
      <name val="Helvetica Neue"/>
      <family val="2"/>
    </font>
    <font>
      <sz val="12"/>
      <color rgb="FF000000"/>
      <name val="Helvetica"/>
      <family val="2"/>
    </font>
  </fonts>
  <fills count="22">
    <fill>
      <patternFill patternType="none"/>
    </fill>
    <fill>
      <patternFill patternType="gray125"/>
    </fill>
    <fill>
      <patternFill patternType="solid">
        <fgColor rgb="FFD8D8D8"/>
        <bgColor rgb="FFD8D8D8"/>
      </patternFill>
    </fill>
    <fill>
      <patternFill patternType="solid">
        <fgColor rgb="FFFBE4D5"/>
        <bgColor rgb="FFFBE4D5"/>
      </patternFill>
    </fill>
    <fill>
      <patternFill patternType="solid">
        <fgColor rgb="FFB6D7A8"/>
        <bgColor rgb="FFB6D7A8"/>
      </patternFill>
    </fill>
    <fill>
      <patternFill patternType="solid">
        <fgColor rgb="FFB4C6E7"/>
        <bgColor rgb="FFB4C6E7"/>
      </patternFill>
    </fill>
    <fill>
      <patternFill patternType="solid">
        <fgColor rgb="FFE7E6E6"/>
        <bgColor rgb="FFE7E6E6"/>
      </patternFill>
    </fill>
    <fill>
      <patternFill patternType="solid">
        <fgColor rgb="FFDAE3F3"/>
        <bgColor rgb="FFDAE3F3"/>
      </patternFill>
    </fill>
    <fill>
      <patternFill patternType="solid">
        <fgColor rgb="FFFFF2CC"/>
        <bgColor rgb="FFFFF2CC"/>
      </patternFill>
    </fill>
    <fill>
      <patternFill patternType="solid">
        <fgColor rgb="FFE2F0D9"/>
        <bgColor rgb="FFE2F0D9"/>
      </patternFill>
    </fill>
    <fill>
      <patternFill patternType="solid">
        <fgColor theme="5"/>
        <bgColor theme="5"/>
      </patternFill>
    </fill>
    <fill>
      <patternFill patternType="solid">
        <fgColor rgb="FF00B0F0"/>
        <bgColor indexed="64"/>
      </patternFill>
    </fill>
    <fill>
      <patternFill patternType="solid">
        <fgColor theme="4" tint="0.39997558519241921"/>
        <bgColor rgb="FFFFF2CC"/>
      </patternFill>
    </fill>
    <fill>
      <patternFill patternType="solid">
        <fgColor theme="4" tint="0.39997558519241921"/>
        <bgColor rgb="FFE2F0D9"/>
      </patternFill>
    </fill>
    <fill>
      <patternFill patternType="solid">
        <fgColor theme="6" tint="0.39997558519241921"/>
        <bgColor rgb="FFFFF2CC"/>
      </patternFill>
    </fill>
    <fill>
      <patternFill patternType="solid">
        <fgColor theme="6" tint="0.39997558519241921"/>
        <bgColor rgb="FFE2F0D9"/>
      </patternFill>
    </fill>
    <fill>
      <patternFill patternType="solid">
        <fgColor theme="5" tint="0.59999389629810485"/>
        <bgColor rgb="FFFFF2CC"/>
      </patternFill>
    </fill>
    <fill>
      <patternFill patternType="solid">
        <fgColor theme="5" tint="0.59999389629810485"/>
        <bgColor rgb="FFE2F0D9"/>
      </patternFill>
    </fill>
    <fill>
      <patternFill patternType="solid">
        <fgColor rgb="FFFF0000"/>
        <bgColor indexed="64"/>
      </patternFill>
    </fill>
    <fill>
      <patternFill patternType="solid">
        <fgColor rgb="FFFF0000"/>
        <bgColor rgb="FFC5E0B3"/>
      </patternFill>
    </fill>
    <fill>
      <patternFill patternType="solid">
        <fgColor rgb="FFFF0000"/>
        <bgColor rgb="FFD8D8D8"/>
      </patternFill>
    </fill>
    <fill>
      <patternFill patternType="solid">
        <fgColor rgb="FFFF0000"/>
        <bgColor rgb="FFFBE4D5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85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/>
    <xf numFmtId="0" fontId="0" fillId="2" borderId="1" xfId="0" applyFill="1" applyBorder="1"/>
    <xf numFmtId="0" fontId="0" fillId="3" borderId="1" xfId="0" applyFill="1" applyBorder="1"/>
    <xf numFmtId="0" fontId="3" fillId="3" borderId="1" xfId="0" applyFont="1" applyFill="1" applyBorder="1"/>
    <xf numFmtId="0" fontId="2" fillId="2" borderId="1" xfId="0" applyFont="1" applyFill="1" applyBorder="1"/>
    <xf numFmtId="0" fontId="3" fillId="2" borderId="1" xfId="0" applyFont="1" applyFill="1" applyBorder="1"/>
    <xf numFmtId="0" fontId="0" fillId="4" borderId="1" xfId="0" applyFill="1" applyBorder="1"/>
    <xf numFmtId="0" fontId="0" fillId="5" borderId="1" xfId="0" applyFill="1" applyBorder="1"/>
    <xf numFmtId="0" fontId="4" fillId="4" borderId="0" xfId="0" applyFont="1" applyFill="1"/>
    <xf numFmtId="0" fontId="0" fillId="6" borderId="1" xfId="0" applyFill="1" applyBorder="1"/>
    <xf numFmtId="0" fontId="0" fillId="2" borderId="2" xfId="0" applyFill="1" applyBorder="1"/>
    <xf numFmtId="0" fontId="0" fillId="0" borderId="0" xfId="0" applyAlignment="1">
      <alignment vertical="center"/>
    </xf>
    <xf numFmtId="0" fontId="3" fillId="0" borderId="0" xfId="0" applyFont="1" applyAlignment="1">
      <alignment vertical="center"/>
    </xf>
    <xf numFmtId="0" fontId="3" fillId="0" borderId="0" xfId="0" applyFont="1"/>
    <xf numFmtId="0" fontId="2" fillId="0" borderId="0" xfId="0" applyFont="1" applyAlignment="1">
      <alignment vertical="center"/>
    </xf>
    <xf numFmtId="0" fontId="3" fillId="7" borderId="1" xfId="0" applyFont="1" applyFill="1" applyBorder="1"/>
    <xf numFmtId="0" fontId="4" fillId="0" borderId="0" xfId="0" applyFont="1"/>
    <xf numFmtId="0" fontId="0" fillId="8" borderId="1" xfId="0" applyFill="1" applyBorder="1"/>
    <xf numFmtId="0" fontId="0" fillId="9" borderId="1" xfId="0" applyFill="1" applyBorder="1"/>
    <xf numFmtId="0" fontId="0" fillId="10" borderId="1" xfId="0" applyFill="1" applyBorder="1"/>
    <xf numFmtId="0" fontId="6" fillId="0" borderId="0" xfId="0" applyFont="1" applyAlignment="1">
      <alignment vertical="center"/>
    </xf>
    <xf numFmtId="0" fontId="0" fillId="11" borderId="0" xfId="0" applyFill="1"/>
    <xf numFmtId="0" fontId="3" fillId="0" borderId="1" xfId="0" applyFont="1" applyBorder="1" applyAlignment="1">
      <alignment vertical="center"/>
    </xf>
    <xf numFmtId="0" fontId="3" fillId="0" borderId="1" xfId="0" applyFont="1" applyBorder="1"/>
    <xf numFmtId="0" fontId="6" fillId="8" borderId="2" xfId="0" applyFont="1" applyFill="1" applyBorder="1"/>
    <xf numFmtId="0" fontId="6" fillId="9" borderId="2" xfId="0" applyFont="1" applyFill="1" applyBorder="1"/>
    <xf numFmtId="0" fontId="6" fillId="9" borderId="0" xfId="0" applyFont="1" applyFill="1"/>
    <xf numFmtId="0" fontId="6" fillId="0" borderId="2" xfId="0" applyFont="1" applyBorder="1"/>
    <xf numFmtId="0" fontId="6" fillId="8" borderId="0" xfId="0" applyFont="1" applyFill="1"/>
    <xf numFmtId="0" fontId="6" fillId="12" borderId="2" xfId="0" applyFont="1" applyFill="1" applyBorder="1"/>
    <xf numFmtId="0" fontId="6" fillId="13" borderId="2" xfId="0" applyFont="1" applyFill="1" applyBorder="1"/>
    <xf numFmtId="0" fontId="0" fillId="13" borderId="1" xfId="0" applyFill="1" applyBorder="1"/>
    <xf numFmtId="0" fontId="6" fillId="14" borderId="2" xfId="0" applyFont="1" applyFill="1" applyBorder="1"/>
    <xf numFmtId="0" fontId="6" fillId="15" borderId="2" xfId="0" applyFont="1" applyFill="1" applyBorder="1"/>
    <xf numFmtId="0" fontId="0" fillId="15" borderId="1" xfId="0" applyFill="1" applyBorder="1"/>
    <xf numFmtId="0" fontId="6" fillId="16" borderId="2" xfId="0" applyFont="1" applyFill="1" applyBorder="1"/>
    <xf numFmtId="0" fontId="6" fillId="17" borderId="2" xfId="0" applyFont="1" applyFill="1" applyBorder="1"/>
    <xf numFmtId="0" fontId="0" fillId="17" borderId="1" xfId="0" applyFill="1" applyBorder="1"/>
    <xf numFmtId="0" fontId="6" fillId="0" borderId="0" xfId="0" applyFont="1"/>
    <xf numFmtId="0" fontId="0" fillId="0" borderId="1" xfId="0" applyBorder="1" applyAlignment="1">
      <alignment vertical="center"/>
    </xf>
    <xf numFmtId="0" fontId="2" fillId="0" borderId="1" xfId="0" applyFont="1" applyBorder="1" applyAlignment="1">
      <alignment vertical="center"/>
    </xf>
    <xf numFmtId="0" fontId="6" fillId="0" borderId="1" xfId="0" applyFont="1" applyBorder="1" applyAlignment="1">
      <alignment vertical="center"/>
    </xf>
    <xf numFmtId="0" fontId="0" fillId="0" borderId="1" xfId="0" applyBorder="1"/>
    <xf numFmtId="0" fontId="2" fillId="0" borderId="1" xfId="0" applyFont="1" applyBorder="1"/>
    <xf numFmtId="0" fontId="5" fillId="0" borderId="1" xfId="0" applyFont="1" applyBorder="1"/>
    <xf numFmtId="0" fontId="0" fillId="0" borderId="2" xfId="0" applyBorder="1" applyAlignment="1">
      <alignment vertical="center"/>
    </xf>
    <xf numFmtId="0" fontId="0" fillId="0" borderId="2" xfId="0" applyBorder="1"/>
    <xf numFmtId="0" fontId="6" fillId="0" borderId="1" xfId="0" applyFont="1" applyBorder="1"/>
    <xf numFmtId="0" fontId="6" fillId="0" borderId="2" xfId="0" applyFont="1" applyBorder="1" applyAlignment="1">
      <alignment vertical="center"/>
    </xf>
    <xf numFmtId="0" fontId="0" fillId="18" borderId="1" xfId="0" applyFill="1" applyBorder="1" applyAlignment="1">
      <alignment vertical="center"/>
    </xf>
    <xf numFmtId="0" fontId="2" fillId="18" borderId="1" xfId="0" applyFont="1" applyFill="1" applyBorder="1" applyAlignment="1">
      <alignment vertical="center"/>
    </xf>
    <xf numFmtId="0" fontId="0" fillId="19" borderId="1" xfId="0" applyFill="1" applyBorder="1"/>
    <xf numFmtId="0" fontId="0" fillId="18" borderId="0" xfId="0" applyFill="1"/>
    <xf numFmtId="0" fontId="8" fillId="0" borderId="0" xfId="0" applyFont="1"/>
    <xf numFmtId="0" fontId="9" fillId="0" borderId="0" xfId="0" applyFont="1"/>
    <xf numFmtId="0" fontId="7" fillId="0" borderId="0" xfId="0" applyFont="1"/>
    <xf numFmtId="0" fontId="0" fillId="18" borderId="0" xfId="0" applyFill="1" applyAlignment="1">
      <alignment vertical="center"/>
    </xf>
    <xf numFmtId="0" fontId="1" fillId="0" borderId="2" xfId="0" applyFont="1" applyBorder="1" applyAlignment="1">
      <alignment vertical="center"/>
    </xf>
    <xf numFmtId="0" fontId="6" fillId="8" borderId="2" xfId="0" applyFont="1" applyFill="1" applyBorder="1" applyAlignment="1">
      <alignment wrapText="1"/>
    </xf>
    <xf numFmtId="0" fontId="6" fillId="9" borderId="2" xfId="0" applyFont="1" applyFill="1" applyBorder="1" applyAlignment="1">
      <alignment wrapText="1"/>
    </xf>
    <xf numFmtId="0" fontId="6" fillId="12" borderId="2" xfId="0" applyFont="1" applyFill="1" applyBorder="1" applyAlignment="1">
      <alignment wrapText="1"/>
    </xf>
    <xf numFmtId="0" fontId="6" fillId="13" borderId="2" xfId="0" applyFont="1" applyFill="1" applyBorder="1" applyAlignment="1">
      <alignment wrapText="1"/>
    </xf>
    <xf numFmtId="0" fontId="6" fillId="14" borderId="2" xfId="0" applyFont="1" applyFill="1" applyBorder="1" applyAlignment="1">
      <alignment wrapText="1"/>
    </xf>
    <xf numFmtId="0" fontId="6" fillId="15" borderId="2" xfId="0" applyFont="1" applyFill="1" applyBorder="1" applyAlignment="1">
      <alignment wrapText="1"/>
    </xf>
    <xf numFmtId="0" fontId="6" fillId="16" borderId="2" xfId="0" applyFont="1" applyFill="1" applyBorder="1" applyAlignment="1">
      <alignment wrapText="1"/>
    </xf>
    <xf numFmtId="0" fontId="6" fillId="17" borderId="2" xfId="0" applyFont="1" applyFill="1" applyBorder="1" applyAlignment="1">
      <alignment wrapText="1"/>
    </xf>
    <xf numFmtId="0" fontId="6" fillId="9" borderId="0" xfId="0" applyFont="1" applyFill="1" applyAlignment="1">
      <alignment wrapText="1"/>
    </xf>
    <xf numFmtId="0" fontId="6" fillId="0" borderId="2" xfId="0" applyFont="1" applyBorder="1" applyAlignment="1">
      <alignment wrapText="1"/>
    </xf>
    <xf numFmtId="0" fontId="0" fillId="9" borderId="1" xfId="0" applyFill="1" applyBorder="1" applyAlignment="1">
      <alignment wrapText="1"/>
    </xf>
    <xf numFmtId="0" fontId="0" fillId="13" borderId="1" xfId="0" applyFill="1" applyBorder="1" applyAlignment="1">
      <alignment wrapText="1"/>
    </xf>
    <xf numFmtId="0" fontId="0" fillId="15" borderId="1" xfId="0" applyFill="1" applyBorder="1" applyAlignment="1">
      <alignment wrapText="1"/>
    </xf>
    <xf numFmtId="0" fontId="0" fillId="17" borderId="1" xfId="0" applyFill="1" applyBorder="1" applyAlignment="1">
      <alignment wrapText="1"/>
    </xf>
    <xf numFmtId="0" fontId="6" fillId="8" borderId="0" xfId="0" applyFont="1" applyFill="1" applyAlignment="1">
      <alignment wrapText="1"/>
    </xf>
    <xf numFmtId="0" fontId="0" fillId="9" borderId="2" xfId="0" applyFill="1" applyBorder="1" applyAlignment="1">
      <alignment wrapText="1"/>
    </xf>
    <xf numFmtId="0" fontId="0" fillId="13" borderId="2" xfId="0" applyFill="1" applyBorder="1" applyAlignment="1">
      <alignment wrapText="1"/>
    </xf>
    <xf numFmtId="0" fontId="0" fillId="15" borderId="2" xfId="0" applyFill="1" applyBorder="1" applyAlignment="1">
      <alignment wrapText="1"/>
    </xf>
    <xf numFmtId="0" fontId="0" fillId="17" borderId="2" xfId="0" applyFill="1" applyBorder="1" applyAlignment="1">
      <alignment wrapText="1"/>
    </xf>
    <xf numFmtId="0" fontId="6" fillId="18" borderId="1" xfId="0" applyFont="1" applyFill="1" applyBorder="1" applyAlignment="1">
      <alignment vertical="center"/>
    </xf>
    <xf numFmtId="0" fontId="0" fillId="20" borderId="1" xfId="0" applyFill="1" applyBorder="1"/>
    <xf numFmtId="0" fontId="0" fillId="21" borderId="1" xfId="0" applyFill="1" applyBorder="1"/>
    <xf numFmtId="0" fontId="2" fillId="18" borderId="0" xfId="0" applyFont="1" applyFill="1" applyAlignment="1">
      <alignment vertical="center"/>
    </xf>
    <xf numFmtId="0" fontId="2" fillId="18" borderId="0" xfId="0" applyFont="1" applyFill="1"/>
    <xf numFmtId="0" fontId="1" fillId="0" borderId="1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12" Type="http://customschemas.google.com/relationships/workbookmetadata" Target="metadata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1000"/>
  <sheetViews>
    <sheetView tabSelected="1" workbookViewId="0">
      <pane ySplit="1" topLeftCell="A190" activePane="bottomLeft" state="frozen"/>
      <selection pane="bottomLeft" activeCell="B209" sqref="A1:S215"/>
    </sheetView>
  </sheetViews>
  <sheetFormatPr baseColWidth="10" defaultColWidth="11.1640625" defaultRowHeight="15" customHeight="1" x14ac:dyDescent="0.2"/>
  <cols>
    <col min="1" max="1" width="30.5" customWidth="1"/>
    <col min="2" max="2" width="24" customWidth="1"/>
    <col min="3" max="3" width="30.6640625" customWidth="1"/>
    <col min="4" max="4" width="18.1640625" customWidth="1"/>
    <col min="5" max="5" width="12.6640625" customWidth="1"/>
    <col min="6" max="6" width="13.5" customWidth="1"/>
    <col min="7" max="7" width="10.6640625" customWidth="1"/>
    <col min="8" max="8" width="15.6640625" customWidth="1"/>
    <col min="9" max="9" width="10.6640625" customWidth="1"/>
    <col min="10" max="10" width="14.5" customWidth="1"/>
    <col min="11" max="11" width="10.6640625" customWidth="1"/>
    <col min="12" max="12" width="14.33203125" customWidth="1"/>
    <col min="13" max="13" width="10.6640625" customWidth="1"/>
    <col min="14" max="14" width="15.83203125" customWidth="1"/>
    <col min="15" max="15" width="10.6640625" customWidth="1"/>
    <col min="16" max="16" width="17.33203125" customWidth="1"/>
    <col min="17" max="17" width="49.6640625" customWidth="1"/>
    <col min="18" max="18" width="10.6640625" customWidth="1"/>
    <col min="19" max="19" width="42" customWidth="1"/>
    <col min="20" max="38" width="10.6640625" customWidth="1"/>
  </cols>
  <sheetData>
    <row r="1" spans="1:38" ht="15.7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/>
      <c r="R1" s="2" t="s">
        <v>16</v>
      </c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</row>
    <row r="2" spans="1:38" ht="15.75" customHeight="1" x14ac:dyDescent="0.2">
      <c r="A2" s="41" t="s">
        <v>17</v>
      </c>
      <c r="B2" s="41" t="s">
        <v>18</v>
      </c>
      <c r="C2" s="41" t="s">
        <v>17</v>
      </c>
      <c r="D2" s="41" t="s">
        <v>19</v>
      </c>
      <c r="E2" s="42" t="s">
        <v>19</v>
      </c>
      <c r="F2" s="42" t="s">
        <v>23</v>
      </c>
      <c r="G2" s="42" t="s">
        <v>19</v>
      </c>
      <c r="H2" s="42" t="s">
        <v>23</v>
      </c>
      <c r="I2" s="42" t="s">
        <v>19</v>
      </c>
      <c r="J2" s="42" t="s">
        <v>23</v>
      </c>
      <c r="K2" s="42" t="s">
        <v>19</v>
      </c>
      <c r="L2" s="42" t="s">
        <v>23</v>
      </c>
      <c r="M2" s="42" t="s">
        <v>19</v>
      </c>
      <c r="N2" s="42" t="s">
        <v>23</v>
      </c>
      <c r="O2" s="42" t="s">
        <v>19</v>
      </c>
      <c r="P2" s="43" t="s">
        <v>23</v>
      </c>
      <c r="Q2" s="41"/>
      <c r="R2" s="44"/>
      <c r="S2" s="44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</row>
    <row r="3" spans="1:38" ht="15.75" customHeight="1" x14ac:dyDescent="0.2">
      <c r="A3" s="41" t="s">
        <v>20</v>
      </c>
      <c r="B3" s="43" t="s">
        <v>21</v>
      </c>
      <c r="C3" s="41" t="s">
        <v>20</v>
      </c>
      <c r="D3" s="41" t="s">
        <v>22</v>
      </c>
      <c r="E3" s="42" t="s">
        <v>22</v>
      </c>
      <c r="F3" s="42" t="s">
        <v>23</v>
      </c>
      <c r="G3" s="42" t="s">
        <v>22</v>
      </c>
      <c r="H3" s="42" t="s">
        <v>23</v>
      </c>
      <c r="I3" s="42" t="s">
        <v>22</v>
      </c>
      <c r="J3" s="42" t="s">
        <v>23</v>
      </c>
      <c r="K3" s="42" t="s">
        <v>22</v>
      </c>
      <c r="L3" s="42" t="s">
        <v>23</v>
      </c>
      <c r="M3" s="42" t="s">
        <v>22</v>
      </c>
      <c r="N3" s="42" t="s">
        <v>23</v>
      </c>
      <c r="O3" s="42" t="s">
        <v>22</v>
      </c>
      <c r="P3" s="43" t="s">
        <v>23</v>
      </c>
      <c r="Q3" s="41"/>
      <c r="R3" s="44"/>
      <c r="S3" s="4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</row>
    <row r="4" spans="1:38" ht="15.75" customHeight="1" x14ac:dyDescent="0.2">
      <c r="A4" s="24" t="s">
        <v>24</v>
      </c>
      <c r="B4" s="24" t="s">
        <v>21</v>
      </c>
      <c r="C4" s="24" t="s">
        <v>24</v>
      </c>
      <c r="D4" s="24" t="s">
        <v>19</v>
      </c>
      <c r="E4" s="42" t="s">
        <v>22</v>
      </c>
      <c r="F4" s="42" t="s">
        <v>25</v>
      </c>
      <c r="G4" s="42" t="s">
        <v>22</v>
      </c>
      <c r="H4" s="42" t="s">
        <v>25</v>
      </c>
      <c r="I4" s="42" t="s">
        <v>22</v>
      </c>
      <c r="J4" s="42" t="s">
        <v>25</v>
      </c>
      <c r="K4" s="42" t="s">
        <v>22</v>
      </c>
      <c r="L4" s="42" t="s">
        <v>25</v>
      </c>
      <c r="M4" s="42" t="s">
        <v>22</v>
      </c>
      <c r="N4" s="42" t="s">
        <v>345</v>
      </c>
      <c r="O4" s="42" t="s">
        <v>22</v>
      </c>
      <c r="P4" s="24" t="s">
        <v>345</v>
      </c>
      <c r="Q4" s="41" t="s">
        <v>26</v>
      </c>
      <c r="R4" s="44"/>
      <c r="S4" s="4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</row>
    <row r="5" spans="1:38" ht="15.75" customHeight="1" x14ac:dyDescent="0.2">
      <c r="A5" s="41" t="s">
        <v>27</v>
      </c>
      <c r="B5" s="41" t="s">
        <v>28</v>
      </c>
      <c r="C5" s="41" t="s">
        <v>27</v>
      </c>
      <c r="D5" s="41" t="s">
        <v>22</v>
      </c>
      <c r="E5" s="42" t="s">
        <v>22</v>
      </c>
      <c r="F5" s="42" t="s">
        <v>23</v>
      </c>
      <c r="G5" s="42" t="s">
        <v>22</v>
      </c>
      <c r="H5" s="42" t="s">
        <v>23</v>
      </c>
      <c r="I5" s="42" t="s">
        <v>22</v>
      </c>
      <c r="J5" s="42" t="s">
        <v>23</v>
      </c>
      <c r="K5" s="42" t="s">
        <v>22</v>
      </c>
      <c r="L5" s="42" t="s">
        <v>23</v>
      </c>
      <c r="M5" s="42" t="s">
        <v>22</v>
      </c>
      <c r="N5" s="42" t="s">
        <v>23</v>
      </c>
      <c r="O5" s="42" t="s">
        <v>22</v>
      </c>
      <c r="P5" s="43" t="s">
        <v>23</v>
      </c>
      <c r="Q5" s="41" t="s">
        <v>29</v>
      </c>
      <c r="R5" s="44"/>
      <c r="S5" s="4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</row>
    <row r="6" spans="1:38" ht="15.75" customHeight="1" x14ac:dyDescent="0.2">
      <c r="A6" s="41" t="s">
        <v>30</v>
      </c>
      <c r="B6" s="41" t="s">
        <v>28</v>
      </c>
      <c r="C6" s="41" t="s">
        <v>30</v>
      </c>
      <c r="D6" s="41" t="s">
        <v>19</v>
      </c>
      <c r="E6" s="42" t="s">
        <v>19</v>
      </c>
      <c r="F6" s="42" t="s">
        <v>23</v>
      </c>
      <c r="G6" s="42" t="s">
        <v>22</v>
      </c>
      <c r="H6" s="42" t="s">
        <v>25</v>
      </c>
      <c r="I6" s="42" t="s">
        <v>22</v>
      </c>
      <c r="J6" s="42" t="s">
        <v>25</v>
      </c>
      <c r="K6" s="42" t="s">
        <v>22</v>
      </c>
      <c r="L6" s="42" t="s">
        <v>25</v>
      </c>
      <c r="M6" s="42" t="s">
        <v>22</v>
      </c>
      <c r="N6" s="42" t="s">
        <v>345</v>
      </c>
      <c r="O6" s="42" t="s">
        <v>19</v>
      </c>
      <c r="P6" s="43" t="s">
        <v>23</v>
      </c>
      <c r="Q6" s="41" t="s">
        <v>29</v>
      </c>
      <c r="R6" s="44"/>
      <c r="S6" s="4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</row>
    <row r="7" spans="1:38" ht="15.75" customHeight="1" x14ac:dyDescent="0.2">
      <c r="A7" s="41" t="s">
        <v>31</v>
      </c>
      <c r="B7" s="41" t="s">
        <v>32</v>
      </c>
      <c r="C7" s="41" t="s">
        <v>31</v>
      </c>
      <c r="D7" s="41" t="s">
        <v>22</v>
      </c>
      <c r="E7" s="42" t="s">
        <v>22</v>
      </c>
      <c r="F7" s="42" t="s">
        <v>23</v>
      </c>
      <c r="G7" s="42" t="s">
        <v>22</v>
      </c>
      <c r="H7" s="42" t="s">
        <v>23</v>
      </c>
      <c r="I7" s="42" t="s">
        <v>22</v>
      </c>
      <c r="J7" s="42" t="s">
        <v>23</v>
      </c>
      <c r="K7" s="42" t="s">
        <v>22</v>
      </c>
      <c r="L7" s="42" t="s">
        <v>23</v>
      </c>
      <c r="M7" s="42" t="s">
        <v>22</v>
      </c>
      <c r="N7" s="42" t="s">
        <v>23</v>
      </c>
      <c r="O7" s="42" t="s">
        <v>22</v>
      </c>
      <c r="P7" s="43" t="s">
        <v>23</v>
      </c>
      <c r="Q7" s="41"/>
      <c r="R7" s="44"/>
      <c r="S7" s="4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</row>
    <row r="8" spans="1:38" ht="15.75" customHeight="1" x14ac:dyDescent="0.2">
      <c r="A8" s="41" t="s">
        <v>33</v>
      </c>
      <c r="B8" s="41" t="s">
        <v>32</v>
      </c>
      <c r="C8" s="41" t="s">
        <v>33</v>
      </c>
      <c r="D8" s="41" t="s">
        <v>19</v>
      </c>
      <c r="E8" s="42" t="s">
        <v>22</v>
      </c>
      <c r="F8" s="42" t="s">
        <v>25</v>
      </c>
      <c r="G8" s="42" t="s">
        <v>22</v>
      </c>
      <c r="H8" s="42" t="s">
        <v>25</v>
      </c>
      <c r="I8" s="42" t="s">
        <v>22</v>
      </c>
      <c r="J8" s="42" t="s">
        <v>25</v>
      </c>
      <c r="K8" s="42" t="s">
        <v>22</v>
      </c>
      <c r="L8" s="42" t="s">
        <v>25</v>
      </c>
      <c r="M8" s="42" t="s">
        <v>22</v>
      </c>
      <c r="N8" s="42" t="s">
        <v>345</v>
      </c>
      <c r="O8" s="42" t="s">
        <v>22</v>
      </c>
      <c r="P8" s="24" t="s">
        <v>345</v>
      </c>
      <c r="Q8" s="41" t="s">
        <v>34</v>
      </c>
      <c r="R8" s="25"/>
      <c r="S8" s="2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</row>
    <row r="9" spans="1:38" ht="15.75" customHeight="1" x14ac:dyDescent="0.2">
      <c r="A9" s="24" t="s">
        <v>35</v>
      </c>
      <c r="B9" s="24" t="s">
        <v>28</v>
      </c>
      <c r="C9" s="24" t="s">
        <v>35</v>
      </c>
      <c r="D9" s="24" t="s">
        <v>22</v>
      </c>
      <c r="E9" s="42" t="s">
        <v>22</v>
      </c>
      <c r="F9" s="42" t="s">
        <v>23</v>
      </c>
      <c r="G9" s="42" t="s">
        <v>22</v>
      </c>
      <c r="H9" s="42" t="s">
        <v>23</v>
      </c>
      <c r="I9" s="42" t="s">
        <v>22</v>
      </c>
      <c r="J9" s="42" t="s">
        <v>23</v>
      </c>
      <c r="K9" s="42" t="s">
        <v>22</v>
      </c>
      <c r="L9" s="42" t="s">
        <v>23</v>
      </c>
      <c r="M9" s="42" t="s">
        <v>22</v>
      </c>
      <c r="N9" s="42" t="s">
        <v>23</v>
      </c>
      <c r="O9" s="42" t="s">
        <v>22</v>
      </c>
      <c r="P9" s="43" t="s">
        <v>23</v>
      </c>
      <c r="Q9" s="24"/>
      <c r="R9" s="44"/>
      <c r="S9" s="44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</row>
    <row r="10" spans="1:38" ht="15.75" customHeight="1" x14ac:dyDescent="0.2">
      <c r="A10" s="41" t="s">
        <v>36</v>
      </c>
      <c r="B10" s="41" t="s">
        <v>28</v>
      </c>
      <c r="C10" s="41" t="s">
        <v>36</v>
      </c>
      <c r="D10" s="41" t="s">
        <v>19</v>
      </c>
      <c r="E10" s="42" t="s">
        <v>19</v>
      </c>
      <c r="F10" s="42" t="s">
        <v>23</v>
      </c>
      <c r="G10" s="42" t="s">
        <v>19</v>
      </c>
      <c r="H10" s="42" t="s">
        <v>23</v>
      </c>
      <c r="I10" s="42" t="s">
        <v>19</v>
      </c>
      <c r="J10" s="42" t="s">
        <v>23</v>
      </c>
      <c r="K10" s="42" t="s">
        <v>22</v>
      </c>
      <c r="L10" s="42" t="s">
        <v>25</v>
      </c>
      <c r="M10" s="42" t="s">
        <v>19</v>
      </c>
      <c r="N10" s="42" t="s">
        <v>23</v>
      </c>
      <c r="O10" s="42" t="s">
        <v>19</v>
      </c>
      <c r="P10" s="43" t="s">
        <v>23</v>
      </c>
      <c r="Q10" s="41"/>
      <c r="R10" s="45"/>
      <c r="S10" s="45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</row>
    <row r="11" spans="1:38" ht="15.75" customHeight="1" x14ac:dyDescent="0.2">
      <c r="A11" s="41" t="s">
        <v>37</v>
      </c>
      <c r="B11" s="41" t="s">
        <v>32</v>
      </c>
      <c r="C11" s="41" t="s">
        <v>37</v>
      </c>
      <c r="D11" s="41" t="s">
        <v>19</v>
      </c>
      <c r="E11" s="42" t="s">
        <v>19</v>
      </c>
      <c r="F11" s="42" t="s">
        <v>23</v>
      </c>
      <c r="G11" s="42" t="s">
        <v>19</v>
      </c>
      <c r="H11" s="42" t="s">
        <v>23</v>
      </c>
      <c r="I11" s="42" t="s">
        <v>19</v>
      </c>
      <c r="J11" s="42" t="s">
        <v>23</v>
      </c>
      <c r="K11" s="42" t="s">
        <v>19</v>
      </c>
      <c r="L11" s="42" t="s">
        <v>23</v>
      </c>
      <c r="M11" s="42" t="s">
        <v>19</v>
      </c>
      <c r="N11" s="42" t="s">
        <v>23</v>
      </c>
      <c r="O11" s="42" t="s">
        <v>19</v>
      </c>
      <c r="P11" s="43" t="s">
        <v>23</v>
      </c>
      <c r="Q11" s="42"/>
      <c r="R11" s="44"/>
      <c r="S11" s="4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</row>
    <row r="12" spans="1:38" ht="15.75" customHeight="1" x14ac:dyDescent="0.2">
      <c r="A12" s="41" t="s">
        <v>38</v>
      </c>
      <c r="B12" s="41" t="s">
        <v>39</v>
      </c>
      <c r="C12" s="41"/>
      <c r="D12" s="41" t="s">
        <v>22</v>
      </c>
      <c r="E12" s="42" t="s">
        <v>22</v>
      </c>
      <c r="F12" s="42" t="s">
        <v>23</v>
      </c>
      <c r="G12" s="42" t="s">
        <v>22</v>
      </c>
      <c r="H12" s="42" t="s">
        <v>23</v>
      </c>
      <c r="I12" s="42" t="s">
        <v>22</v>
      </c>
      <c r="J12" s="42" t="s">
        <v>23</v>
      </c>
      <c r="K12" s="42" t="s">
        <v>22</v>
      </c>
      <c r="L12" s="42" t="s">
        <v>23</v>
      </c>
      <c r="M12" s="42" t="s">
        <v>22</v>
      </c>
      <c r="N12" s="42" t="s">
        <v>23</v>
      </c>
      <c r="O12" s="42" t="s">
        <v>22</v>
      </c>
      <c r="P12" s="43" t="s">
        <v>23</v>
      </c>
      <c r="Q12" s="41"/>
      <c r="R12" s="25"/>
      <c r="S12" s="25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</row>
    <row r="13" spans="1:38" ht="15.75" customHeight="1" x14ac:dyDescent="0.2">
      <c r="A13" s="24" t="s">
        <v>40</v>
      </c>
      <c r="B13" s="24" t="s">
        <v>41</v>
      </c>
      <c r="C13" s="24"/>
      <c r="D13" s="24" t="s">
        <v>19</v>
      </c>
      <c r="E13" s="42" t="s">
        <v>22</v>
      </c>
      <c r="F13" s="42" t="s">
        <v>25</v>
      </c>
      <c r="G13" s="42" t="s">
        <v>22</v>
      </c>
      <c r="H13" s="42" t="s">
        <v>25</v>
      </c>
      <c r="I13" s="42" t="s">
        <v>22</v>
      </c>
      <c r="J13" s="42" t="s">
        <v>25</v>
      </c>
      <c r="K13" s="42" t="s">
        <v>22</v>
      </c>
      <c r="L13" s="42" t="s">
        <v>25</v>
      </c>
      <c r="M13" s="42" t="s">
        <v>22</v>
      </c>
      <c r="N13" s="42" t="s">
        <v>345</v>
      </c>
      <c r="O13" s="42" t="s">
        <v>22</v>
      </c>
      <c r="P13" s="24" t="s">
        <v>345</v>
      </c>
      <c r="Q13" s="41"/>
      <c r="R13" s="44"/>
      <c r="S13" s="44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</row>
    <row r="14" spans="1:38" ht="15.75" customHeight="1" x14ac:dyDescent="0.2">
      <c r="A14" s="24" t="s">
        <v>42</v>
      </c>
      <c r="B14" s="24" t="s">
        <v>41</v>
      </c>
      <c r="C14" s="24"/>
      <c r="D14" s="24" t="s">
        <v>19</v>
      </c>
      <c r="E14" s="42" t="s">
        <v>19</v>
      </c>
      <c r="F14" s="42" t="s">
        <v>23</v>
      </c>
      <c r="G14" s="42" t="s">
        <v>19</v>
      </c>
      <c r="H14" s="42" t="s">
        <v>23</v>
      </c>
      <c r="I14" s="42" t="s">
        <v>19</v>
      </c>
      <c r="J14" s="42" t="s">
        <v>23</v>
      </c>
      <c r="K14" s="42" t="s">
        <v>19</v>
      </c>
      <c r="L14" s="42" t="s">
        <v>23</v>
      </c>
      <c r="M14" s="42" t="s">
        <v>19</v>
      </c>
      <c r="N14" s="42" t="s">
        <v>23</v>
      </c>
      <c r="O14" s="42" t="s">
        <v>19</v>
      </c>
      <c r="P14" s="43" t="s">
        <v>23</v>
      </c>
      <c r="Q14" s="41"/>
      <c r="R14" s="44"/>
      <c r="S14" s="44" t="s">
        <v>44</v>
      </c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8"/>
      <c r="AJ14" s="8"/>
      <c r="AK14" s="8"/>
      <c r="AL14" s="8"/>
    </row>
    <row r="15" spans="1:38" ht="15.75" customHeight="1" x14ac:dyDescent="0.2">
      <c r="A15" s="41" t="s">
        <v>45</v>
      </c>
      <c r="B15" s="41" t="s">
        <v>46</v>
      </c>
      <c r="C15" s="41" t="s">
        <v>45</v>
      </c>
      <c r="D15" s="41" t="s">
        <v>19</v>
      </c>
      <c r="E15" s="42" t="s">
        <v>22</v>
      </c>
      <c r="F15" s="42" t="s">
        <v>25</v>
      </c>
      <c r="G15" s="42" t="s">
        <v>22</v>
      </c>
      <c r="H15" s="42" t="s">
        <v>25</v>
      </c>
      <c r="I15" s="42" t="s">
        <v>22</v>
      </c>
      <c r="J15" s="42" t="s">
        <v>25</v>
      </c>
      <c r="K15" s="42" t="s">
        <v>22</v>
      </c>
      <c r="L15" s="42" t="s">
        <v>25</v>
      </c>
      <c r="M15" s="42" t="s">
        <v>22</v>
      </c>
      <c r="N15" s="42" t="s">
        <v>345</v>
      </c>
      <c r="O15" s="42" t="s">
        <v>22</v>
      </c>
      <c r="P15" s="24" t="s">
        <v>345</v>
      </c>
      <c r="Q15" s="41" t="s">
        <v>47</v>
      </c>
      <c r="R15" s="44"/>
      <c r="S15" s="4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</row>
    <row r="16" spans="1:38" ht="15.75" customHeight="1" x14ac:dyDescent="0.2">
      <c r="A16" s="41" t="s">
        <v>48</v>
      </c>
      <c r="B16" s="41" t="s">
        <v>49</v>
      </c>
      <c r="C16" s="41" t="s">
        <v>48</v>
      </c>
      <c r="D16" s="41" t="s">
        <v>22</v>
      </c>
      <c r="E16" s="42" t="s">
        <v>22</v>
      </c>
      <c r="F16" s="42" t="s">
        <v>23</v>
      </c>
      <c r="G16" s="42" t="s">
        <v>22</v>
      </c>
      <c r="H16" s="42" t="s">
        <v>23</v>
      </c>
      <c r="I16" s="42" t="s">
        <v>22</v>
      </c>
      <c r="J16" s="42" t="s">
        <v>23</v>
      </c>
      <c r="K16" s="42" t="s">
        <v>22</v>
      </c>
      <c r="L16" s="42" t="s">
        <v>23</v>
      </c>
      <c r="M16" s="42" t="s">
        <v>22</v>
      </c>
      <c r="N16" s="42" t="s">
        <v>23</v>
      </c>
      <c r="O16" s="42" t="s">
        <v>22</v>
      </c>
      <c r="P16" s="43" t="s">
        <v>23</v>
      </c>
      <c r="Q16" s="41"/>
      <c r="R16" s="44"/>
      <c r="S16" s="4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</row>
    <row r="17" spans="1:38" ht="15.75" customHeight="1" x14ac:dyDescent="0.2">
      <c r="A17" s="41" t="s">
        <v>50</v>
      </c>
      <c r="B17" s="41" t="s">
        <v>49</v>
      </c>
      <c r="C17" s="41" t="s">
        <v>50</v>
      </c>
      <c r="D17" s="41" t="s">
        <v>19</v>
      </c>
      <c r="E17" s="42" t="s">
        <v>22</v>
      </c>
      <c r="F17" s="42" t="s">
        <v>25</v>
      </c>
      <c r="G17" s="42" t="s">
        <v>22</v>
      </c>
      <c r="H17" s="42" t="s">
        <v>25</v>
      </c>
      <c r="I17" s="42" t="s">
        <v>22</v>
      </c>
      <c r="J17" s="42" t="s">
        <v>25</v>
      </c>
      <c r="K17" s="42" t="s">
        <v>22</v>
      </c>
      <c r="L17" s="42" t="s">
        <v>25</v>
      </c>
      <c r="M17" s="42" t="s">
        <v>22</v>
      </c>
      <c r="N17" s="42" t="s">
        <v>345</v>
      </c>
      <c r="O17" s="42" t="s">
        <v>22</v>
      </c>
      <c r="P17" s="24" t="s">
        <v>345</v>
      </c>
      <c r="Q17" s="41" t="s">
        <v>51</v>
      </c>
      <c r="R17" s="44"/>
      <c r="S17" s="4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</row>
    <row r="18" spans="1:38" ht="15.75" customHeight="1" x14ac:dyDescent="0.2">
      <c r="A18" s="41" t="s">
        <v>52</v>
      </c>
      <c r="B18" s="41" t="s">
        <v>39</v>
      </c>
      <c r="C18" s="41" t="s">
        <v>52</v>
      </c>
      <c r="D18" s="41" t="s">
        <v>19</v>
      </c>
      <c r="E18" s="42" t="s">
        <v>22</v>
      </c>
      <c r="F18" s="42" t="s">
        <v>25</v>
      </c>
      <c r="G18" s="42" t="s">
        <v>22</v>
      </c>
      <c r="H18" s="42" t="s">
        <v>25</v>
      </c>
      <c r="I18" s="42" t="s">
        <v>22</v>
      </c>
      <c r="J18" s="42" t="s">
        <v>25</v>
      </c>
      <c r="K18" s="42" t="s">
        <v>22</v>
      </c>
      <c r="L18" s="42" t="s">
        <v>25</v>
      </c>
      <c r="M18" s="42" t="s">
        <v>22</v>
      </c>
      <c r="N18" s="42" t="s">
        <v>345</v>
      </c>
      <c r="O18" s="42" t="s">
        <v>22</v>
      </c>
      <c r="P18" s="24" t="s">
        <v>345</v>
      </c>
      <c r="Q18" s="41" t="s">
        <v>53</v>
      </c>
      <c r="R18" s="44" t="s">
        <v>54</v>
      </c>
      <c r="S18" s="18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</row>
    <row r="19" spans="1:38" ht="15.75" customHeight="1" x14ac:dyDescent="0.2">
      <c r="A19" s="41" t="s">
        <v>55</v>
      </c>
      <c r="B19" s="41" t="s">
        <v>18</v>
      </c>
      <c r="C19" s="41" t="s">
        <v>55</v>
      </c>
      <c r="D19" s="41" t="s">
        <v>22</v>
      </c>
      <c r="E19" s="42" t="s">
        <v>22</v>
      </c>
      <c r="F19" s="42" t="s">
        <v>23</v>
      </c>
      <c r="G19" s="42" t="s">
        <v>22</v>
      </c>
      <c r="H19" s="42" t="s">
        <v>23</v>
      </c>
      <c r="I19" s="42" t="s">
        <v>22</v>
      </c>
      <c r="J19" s="42" t="s">
        <v>23</v>
      </c>
      <c r="K19" s="42" t="s">
        <v>22</v>
      </c>
      <c r="L19" s="42" t="s">
        <v>23</v>
      </c>
      <c r="M19" s="42" t="s">
        <v>22</v>
      </c>
      <c r="N19" s="42" t="s">
        <v>23</v>
      </c>
      <c r="O19" s="42" t="s">
        <v>22</v>
      </c>
      <c r="P19" s="43" t="s">
        <v>23</v>
      </c>
      <c r="Q19" s="41"/>
      <c r="R19" s="44"/>
      <c r="S19" s="44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</row>
    <row r="20" spans="1:38" ht="15.75" customHeight="1" x14ac:dyDescent="0.2">
      <c r="A20" s="41" t="s">
        <v>56</v>
      </c>
      <c r="B20" s="41" t="s">
        <v>18</v>
      </c>
      <c r="C20" s="41" t="s">
        <v>56</v>
      </c>
      <c r="D20" s="41" t="s">
        <v>19</v>
      </c>
      <c r="E20" s="42" t="s">
        <v>19</v>
      </c>
      <c r="F20" s="42" t="s">
        <v>23</v>
      </c>
      <c r="G20" s="42" t="s">
        <v>19</v>
      </c>
      <c r="H20" s="42" t="s">
        <v>23</v>
      </c>
      <c r="I20" s="42" t="s">
        <v>19</v>
      </c>
      <c r="J20" s="42" t="s">
        <v>23</v>
      </c>
      <c r="K20" s="42" t="s">
        <v>19</v>
      </c>
      <c r="L20" s="42" t="s">
        <v>23</v>
      </c>
      <c r="M20" s="42" t="s">
        <v>19</v>
      </c>
      <c r="N20" s="42" t="s">
        <v>23</v>
      </c>
      <c r="O20" s="42" t="s">
        <v>19</v>
      </c>
      <c r="P20" s="43" t="s">
        <v>23</v>
      </c>
      <c r="Q20" s="41"/>
      <c r="R20" s="44"/>
      <c r="S20" s="44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</row>
    <row r="21" spans="1:38" s="54" customFormat="1" ht="15.75" customHeight="1" x14ac:dyDescent="0.2">
      <c r="A21" s="41" t="s">
        <v>59</v>
      </c>
      <c r="B21" s="41" t="s">
        <v>28</v>
      </c>
      <c r="C21" s="41"/>
      <c r="D21" s="41" t="s">
        <v>22</v>
      </c>
      <c r="E21" s="42" t="s">
        <v>22</v>
      </c>
      <c r="F21" s="42" t="s">
        <v>23</v>
      </c>
      <c r="G21" s="42" t="s">
        <v>22</v>
      </c>
      <c r="H21" s="42" t="s">
        <v>23</v>
      </c>
      <c r="I21" s="42" t="s">
        <v>22</v>
      </c>
      <c r="J21" s="42" t="s">
        <v>23</v>
      </c>
      <c r="K21" s="42" t="s">
        <v>22</v>
      </c>
      <c r="L21" s="42" t="s">
        <v>23</v>
      </c>
      <c r="M21" s="42" t="s">
        <v>22</v>
      </c>
      <c r="N21" s="42" t="s">
        <v>23</v>
      </c>
      <c r="O21" s="42" t="s">
        <v>22</v>
      </c>
      <c r="P21" s="43" t="s">
        <v>23</v>
      </c>
      <c r="Q21" s="41" t="s">
        <v>60</v>
      </c>
      <c r="R21" s="44"/>
      <c r="S21" s="44"/>
      <c r="T21" s="80"/>
      <c r="U21" s="80"/>
      <c r="V21" s="80"/>
      <c r="W21" s="80"/>
      <c r="X21" s="80"/>
      <c r="Y21" s="80"/>
      <c r="Z21" s="80"/>
      <c r="AA21" s="80"/>
      <c r="AB21" s="80"/>
      <c r="AC21" s="80"/>
      <c r="AD21" s="80"/>
      <c r="AE21" s="80"/>
      <c r="AF21" s="80"/>
      <c r="AG21" s="80"/>
      <c r="AH21" s="80"/>
      <c r="AI21" s="80"/>
      <c r="AJ21" s="80"/>
      <c r="AK21" s="80"/>
      <c r="AL21" s="80"/>
    </row>
    <row r="22" spans="1:38" ht="15.75" customHeight="1" x14ac:dyDescent="0.2">
      <c r="A22" s="41" t="s">
        <v>61</v>
      </c>
      <c r="B22" s="41" t="s">
        <v>28</v>
      </c>
      <c r="C22" s="41"/>
      <c r="D22" s="41" t="s">
        <v>19</v>
      </c>
      <c r="E22" s="42" t="s">
        <v>19</v>
      </c>
      <c r="F22" s="42" t="s">
        <v>23</v>
      </c>
      <c r="G22" s="42" t="s">
        <v>22</v>
      </c>
      <c r="H22" s="42" t="s">
        <v>25</v>
      </c>
      <c r="I22" s="42" t="s">
        <v>22</v>
      </c>
      <c r="J22" s="42" t="s">
        <v>25</v>
      </c>
      <c r="K22" s="42" t="s">
        <v>22</v>
      </c>
      <c r="L22" s="42" t="s">
        <v>25</v>
      </c>
      <c r="M22" s="42" t="s">
        <v>22</v>
      </c>
      <c r="N22" s="42" t="s">
        <v>345</v>
      </c>
      <c r="O22" s="42" t="s">
        <v>19</v>
      </c>
      <c r="P22" s="43" t="s">
        <v>23</v>
      </c>
      <c r="Q22" s="41" t="s">
        <v>60</v>
      </c>
      <c r="R22" s="44"/>
      <c r="S22" s="44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</row>
    <row r="23" spans="1:38" ht="15.75" customHeight="1" x14ac:dyDescent="0.2">
      <c r="A23" s="41" t="s">
        <v>64</v>
      </c>
      <c r="B23" s="41" t="s">
        <v>18</v>
      </c>
      <c r="C23" s="41" t="s">
        <v>64</v>
      </c>
      <c r="D23" s="41" t="s">
        <v>22</v>
      </c>
      <c r="E23" s="42" t="s">
        <v>22</v>
      </c>
      <c r="F23" s="42" t="s">
        <v>23</v>
      </c>
      <c r="G23" s="42" t="s">
        <v>22</v>
      </c>
      <c r="H23" s="42" t="s">
        <v>23</v>
      </c>
      <c r="I23" s="42" t="s">
        <v>22</v>
      </c>
      <c r="J23" s="42" t="s">
        <v>23</v>
      </c>
      <c r="K23" s="42" t="s">
        <v>22</v>
      </c>
      <c r="L23" s="42" t="s">
        <v>23</v>
      </c>
      <c r="M23" s="42" t="s">
        <v>22</v>
      </c>
      <c r="N23" s="42" t="s">
        <v>23</v>
      </c>
      <c r="O23" s="42" t="s">
        <v>22</v>
      </c>
      <c r="P23" s="43" t="s">
        <v>23</v>
      </c>
      <c r="Q23" s="41"/>
      <c r="R23" s="44"/>
      <c r="S23" s="44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</row>
    <row r="24" spans="1:38" s="54" customFormat="1" ht="15.75" customHeight="1" x14ac:dyDescent="0.2">
      <c r="A24" s="41" t="s">
        <v>65</v>
      </c>
      <c r="B24" s="41" t="s">
        <v>18</v>
      </c>
      <c r="C24" s="41" t="s">
        <v>65</v>
      </c>
      <c r="D24" s="41" t="s">
        <v>19</v>
      </c>
      <c r="E24" s="42" t="s">
        <v>19</v>
      </c>
      <c r="F24" s="42" t="s">
        <v>23</v>
      </c>
      <c r="G24" s="42" t="s">
        <v>19</v>
      </c>
      <c r="H24" s="42" t="s">
        <v>23</v>
      </c>
      <c r="I24" s="42" t="s">
        <v>19</v>
      </c>
      <c r="J24" s="42" t="s">
        <v>23</v>
      </c>
      <c r="K24" s="42" t="s">
        <v>19</v>
      </c>
      <c r="L24" s="42" t="s">
        <v>23</v>
      </c>
      <c r="M24" s="42" t="s">
        <v>19</v>
      </c>
      <c r="N24" s="42" t="s">
        <v>23</v>
      </c>
      <c r="O24" s="42" t="s">
        <v>19</v>
      </c>
      <c r="P24" s="43" t="s">
        <v>23</v>
      </c>
      <c r="Q24" s="41"/>
      <c r="R24" s="44"/>
      <c r="S24" s="44"/>
      <c r="T24" s="53"/>
      <c r="U24" s="53"/>
      <c r="V24" s="53"/>
      <c r="W24" s="53"/>
      <c r="X24" s="53"/>
      <c r="Y24" s="53"/>
      <c r="Z24" s="53"/>
      <c r="AA24" s="53"/>
      <c r="AB24" s="53"/>
      <c r="AC24" s="53"/>
      <c r="AD24" s="53"/>
      <c r="AE24" s="53"/>
      <c r="AF24" s="53"/>
      <c r="AG24" s="53"/>
      <c r="AH24" s="53"/>
      <c r="AI24" s="53"/>
      <c r="AJ24" s="53"/>
      <c r="AK24" s="53"/>
      <c r="AL24" s="53"/>
    </row>
    <row r="25" spans="1:38" s="54" customFormat="1" ht="15.75" customHeight="1" x14ac:dyDescent="0.2">
      <c r="A25" s="41" t="s">
        <v>66</v>
      </c>
      <c r="B25" s="41" t="s">
        <v>18</v>
      </c>
      <c r="C25" s="41" t="s">
        <v>66</v>
      </c>
      <c r="D25" s="41" t="s">
        <v>22</v>
      </c>
      <c r="E25" s="42" t="s">
        <v>22</v>
      </c>
      <c r="F25" s="42" t="s">
        <v>23</v>
      </c>
      <c r="G25" s="42" t="s">
        <v>22</v>
      </c>
      <c r="H25" s="42" t="s">
        <v>23</v>
      </c>
      <c r="I25" s="42" t="s">
        <v>22</v>
      </c>
      <c r="J25" s="42" t="s">
        <v>23</v>
      </c>
      <c r="K25" s="42" t="s">
        <v>22</v>
      </c>
      <c r="L25" s="42" t="s">
        <v>23</v>
      </c>
      <c r="M25" s="42" t="s">
        <v>22</v>
      </c>
      <c r="N25" s="42" t="s">
        <v>23</v>
      </c>
      <c r="O25" s="42" t="s">
        <v>22</v>
      </c>
      <c r="P25" s="43" t="s">
        <v>23</v>
      </c>
      <c r="Q25" s="41"/>
      <c r="R25" s="44"/>
      <c r="S25" s="44"/>
      <c r="T25" s="53"/>
      <c r="U25" s="53"/>
      <c r="V25" s="53"/>
      <c r="W25" s="53"/>
      <c r="X25" s="53"/>
      <c r="Y25" s="53"/>
      <c r="Z25" s="53"/>
      <c r="AA25" s="53"/>
      <c r="AB25" s="53"/>
      <c r="AC25" s="53"/>
      <c r="AD25" s="53"/>
      <c r="AE25" s="53"/>
      <c r="AF25" s="53"/>
      <c r="AG25" s="53"/>
      <c r="AH25" s="53"/>
      <c r="AI25" s="53"/>
      <c r="AJ25" s="53"/>
      <c r="AK25" s="53"/>
      <c r="AL25" s="53"/>
    </row>
    <row r="26" spans="1:38" ht="15.75" customHeight="1" x14ac:dyDescent="0.2">
      <c r="A26" s="41" t="s">
        <v>67</v>
      </c>
      <c r="B26" s="41" t="s">
        <v>68</v>
      </c>
      <c r="C26" s="41" t="s">
        <v>67</v>
      </c>
      <c r="D26" s="41" t="s">
        <v>22</v>
      </c>
      <c r="E26" s="42" t="s">
        <v>22</v>
      </c>
      <c r="F26" s="42" t="s">
        <v>23</v>
      </c>
      <c r="G26" s="42" t="s">
        <v>22</v>
      </c>
      <c r="H26" s="42" t="s">
        <v>23</v>
      </c>
      <c r="I26" s="42" t="s">
        <v>22</v>
      </c>
      <c r="J26" s="42" t="s">
        <v>23</v>
      </c>
      <c r="K26" s="42" t="s">
        <v>22</v>
      </c>
      <c r="L26" s="42" t="s">
        <v>23</v>
      </c>
      <c r="M26" s="42" t="s">
        <v>22</v>
      </c>
      <c r="N26" s="42" t="s">
        <v>23</v>
      </c>
      <c r="O26" s="42" t="s">
        <v>22</v>
      </c>
      <c r="P26" s="43" t="s">
        <v>23</v>
      </c>
      <c r="Q26" s="41"/>
      <c r="R26" s="44" t="s">
        <v>69</v>
      </c>
      <c r="S26" s="44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</row>
    <row r="27" spans="1:38" ht="15.75" customHeight="1" x14ac:dyDescent="0.2">
      <c r="A27" s="41" t="s">
        <v>70</v>
      </c>
      <c r="B27" s="41" t="s">
        <v>58</v>
      </c>
      <c r="C27" s="41" t="s">
        <v>71</v>
      </c>
      <c r="D27" s="41" t="s">
        <v>19</v>
      </c>
      <c r="E27" s="42" t="s">
        <v>22</v>
      </c>
      <c r="F27" s="42" t="s">
        <v>25</v>
      </c>
      <c r="G27" s="42" t="s">
        <v>22</v>
      </c>
      <c r="H27" s="42" t="s">
        <v>25</v>
      </c>
      <c r="I27" s="42" t="s">
        <v>22</v>
      </c>
      <c r="J27" s="42" t="s">
        <v>25</v>
      </c>
      <c r="K27" s="42" t="s">
        <v>22</v>
      </c>
      <c r="L27" s="42" t="s">
        <v>25</v>
      </c>
      <c r="M27" s="42" t="s">
        <v>22</v>
      </c>
      <c r="N27" s="42" t="s">
        <v>345</v>
      </c>
      <c r="O27" s="42" t="s">
        <v>22</v>
      </c>
      <c r="P27" s="24" t="s">
        <v>345</v>
      </c>
      <c r="Q27" s="41"/>
      <c r="R27" s="44" t="s">
        <v>72</v>
      </c>
      <c r="S27" s="44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</row>
    <row r="28" spans="1:38" ht="15.75" customHeight="1" x14ac:dyDescent="0.2">
      <c r="A28" s="41" t="s">
        <v>73</v>
      </c>
      <c r="B28" s="41" t="s">
        <v>58</v>
      </c>
      <c r="C28" s="41" t="s">
        <v>73</v>
      </c>
      <c r="D28" s="41" t="s">
        <v>19</v>
      </c>
      <c r="E28" s="42" t="s">
        <v>22</v>
      </c>
      <c r="F28" s="42" t="s">
        <v>25</v>
      </c>
      <c r="G28" s="42" t="s">
        <v>22</v>
      </c>
      <c r="H28" s="42" t="s">
        <v>25</v>
      </c>
      <c r="I28" s="42" t="s">
        <v>22</v>
      </c>
      <c r="J28" s="42" t="s">
        <v>25</v>
      </c>
      <c r="K28" s="42" t="s">
        <v>22</v>
      </c>
      <c r="L28" s="42" t="s">
        <v>25</v>
      </c>
      <c r="M28" s="42" t="s">
        <v>22</v>
      </c>
      <c r="N28" s="42" t="s">
        <v>345</v>
      </c>
      <c r="O28" s="42" t="s">
        <v>22</v>
      </c>
      <c r="P28" s="24" t="s">
        <v>345</v>
      </c>
      <c r="Q28" s="41"/>
      <c r="R28" s="44" t="s">
        <v>72</v>
      </c>
      <c r="S28" s="44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</row>
    <row r="29" spans="1:38" ht="15.75" customHeight="1" x14ac:dyDescent="0.2">
      <c r="A29" s="41" t="s">
        <v>79</v>
      </c>
      <c r="B29" s="41" t="s">
        <v>80</v>
      </c>
      <c r="C29" s="41" t="s">
        <v>79</v>
      </c>
      <c r="D29" s="41" t="s">
        <v>22</v>
      </c>
      <c r="E29" s="42" t="s">
        <v>22</v>
      </c>
      <c r="F29" s="42" t="s">
        <v>23</v>
      </c>
      <c r="G29" s="42" t="s">
        <v>22</v>
      </c>
      <c r="H29" s="42" t="s">
        <v>23</v>
      </c>
      <c r="I29" s="42" t="s">
        <v>22</v>
      </c>
      <c r="J29" s="42" t="s">
        <v>23</v>
      </c>
      <c r="K29" s="42" t="s">
        <v>22</v>
      </c>
      <c r="L29" s="42" t="s">
        <v>23</v>
      </c>
      <c r="M29" s="42" t="s">
        <v>22</v>
      </c>
      <c r="N29" s="42" t="s">
        <v>23</v>
      </c>
      <c r="O29" s="42" t="s">
        <v>22</v>
      </c>
      <c r="P29" s="43" t="s">
        <v>23</v>
      </c>
      <c r="Q29" s="41"/>
      <c r="R29" s="44"/>
      <c r="S29" s="44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</row>
    <row r="30" spans="1:38" ht="15.75" customHeight="1" x14ac:dyDescent="0.2">
      <c r="A30" s="41" t="s">
        <v>81</v>
      </c>
      <c r="B30" s="41" t="s">
        <v>80</v>
      </c>
      <c r="C30" s="41" t="s">
        <v>81</v>
      </c>
      <c r="D30" s="41" t="s">
        <v>19</v>
      </c>
      <c r="E30" s="42" t="s">
        <v>19</v>
      </c>
      <c r="F30" s="42" t="s">
        <v>23</v>
      </c>
      <c r="G30" s="42" t="s">
        <v>19</v>
      </c>
      <c r="H30" s="42" t="s">
        <v>23</v>
      </c>
      <c r="I30" s="42" t="s">
        <v>19</v>
      </c>
      <c r="J30" s="42" t="s">
        <v>23</v>
      </c>
      <c r="K30" s="42" t="s">
        <v>19</v>
      </c>
      <c r="L30" s="42" t="s">
        <v>23</v>
      </c>
      <c r="M30" s="42" t="s">
        <v>19</v>
      </c>
      <c r="N30" s="42" t="s">
        <v>23</v>
      </c>
      <c r="O30" s="42" t="s">
        <v>19</v>
      </c>
      <c r="P30" s="43" t="s">
        <v>23</v>
      </c>
      <c r="Q30" s="41" t="s">
        <v>82</v>
      </c>
      <c r="R30" s="44"/>
      <c r="S30" s="44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</row>
    <row r="31" spans="1:38" ht="15.75" customHeight="1" x14ac:dyDescent="0.2">
      <c r="A31" s="24" t="s">
        <v>83</v>
      </c>
      <c r="B31" s="24" t="s">
        <v>84</v>
      </c>
      <c r="C31" s="24" t="s">
        <v>83</v>
      </c>
      <c r="D31" s="24" t="s">
        <v>19</v>
      </c>
      <c r="E31" s="42" t="s">
        <v>19</v>
      </c>
      <c r="F31" s="42" t="s">
        <v>23</v>
      </c>
      <c r="G31" s="42" t="s">
        <v>19</v>
      </c>
      <c r="H31" s="42" t="s">
        <v>23</v>
      </c>
      <c r="I31" s="42" t="s">
        <v>19</v>
      </c>
      <c r="J31" s="42" t="s">
        <v>23</v>
      </c>
      <c r="K31" s="42" t="s">
        <v>19</v>
      </c>
      <c r="L31" s="42" t="s">
        <v>23</v>
      </c>
      <c r="M31" s="42" t="s">
        <v>19</v>
      </c>
      <c r="N31" s="42" t="s">
        <v>23</v>
      </c>
      <c r="O31" s="42" t="s">
        <v>19</v>
      </c>
      <c r="P31" s="43" t="s">
        <v>23</v>
      </c>
      <c r="Q31" s="24"/>
      <c r="R31" s="25" t="s">
        <v>85</v>
      </c>
      <c r="S31" s="25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</row>
    <row r="32" spans="1:38" s="54" customFormat="1" ht="15.75" customHeight="1" x14ac:dyDescent="0.2">
      <c r="A32" s="41" t="s">
        <v>86</v>
      </c>
      <c r="B32" s="41" t="s">
        <v>87</v>
      </c>
      <c r="C32" s="41" t="s">
        <v>86</v>
      </c>
      <c r="D32" s="41" t="s">
        <v>22</v>
      </c>
      <c r="E32" s="42" t="s">
        <v>22</v>
      </c>
      <c r="F32" s="42" t="s">
        <v>23</v>
      </c>
      <c r="G32" s="42" t="s">
        <v>22</v>
      </c>
      <c r="H32" s="42" t="s">
        <v>23</v>
      </c>
      <c r="I32" s="42" t="s">
        <v>22</v>
      </c>
      <c r="J32" s="42" t="s">
        <v>23</v>
      </c>
      <c r="K32" s="42" t="s">
        <v>22</v>
      </c>
      <c r="L32" s="42" t="s">
        <v>23</v>
      </c>
      <c r="M32" s="42" t="s">
        <v>22</v>
      </c>
      <c r="N32" s="42" t="s">
        <v>23</v>
      </c>
      <c r="O32" s="42" t="s">
        <v>22</v>
      </c>
      <c r="P32" s="43" t="s">
        <v>23</v>
      </c>
      <c r="Q32" s="41"/>
      <c r="R32" s="46" t="s">
        <v>85</v>
      </c>
      <c r="S32" s="44"/>
      <c r="T32" s="81"/>
      <c r="U32" s="81"/>
      <c r="V32" s="81"/>
      <c r="W32" s="81"/>
      <c r="X32" s="81"/>
      <c r="Y32" s="81"/>
      <c r="Z32" s="81"/>
      <c r="AA32" s="81"/>
      <c r="AB32" s="81"/>
      <c r="AC32" s="81"/>
      <c r="AD32" s="81"/>
      <c r="AE32" s="81"/>
      <c r="AF32" s="81"/>
      <c r="AG32" s="81"/>
      <c r="AH32" s="81"/>
      <c r="AI32" s="81"/>
      <c r="AJ32" s="81"/>
      <c r="AK32" s="81"/>
      <c r="AL32" s="81"/>
    </row>
    <row r="33" spans="1:38" s="54" customFormat="1" ht="15.75" customHeight="1" x14ac:dyDescent="0.2">
      <c r="A33" s="41" t="s">
        <v>88</v>
      </c>
      <c r="B33" s="41" t="s">
        <v>18</v>
      </c>
      <c r="C33" s="41" t="s">
        <v>88</v>
      </c>
      <c r="D33" s="41" t="s">
        <v>19</v>
      </c>
      <c r="E33" s="42" t="s">
        <v>22</v>
      </c>
      <c r="F33" s="42" t="s">
        <v>25</v>
      </c>
      <c r="G33" s="42" t="s">
        <v>22</v>
      </c>
      <c r="H33" s="42" t="s">
        <v>25</v>
      </c>
      <c r="I33" s="42" t="s">
        <v>22</v>
      </c>
      <c r="J33" s="42" t="s">
        <v>25</v>
      </c>
      <c r="K33" s="42" t="s">
        <v>22</v>
      </c>
      <c r="L33" s="42" t="s">
        <v>25</v>
      </c>
      <c r="M33" s="42" t="s">
        <v>22</v>
      </c>
      <c r="N33" s="42" t="s">
        <v>345</v>
      </c>
      <c r="O33" s="42" t="s">
        <v>22</v>
      </c>
      <c r="P33" s="24" t="s">
        <v>345</v>
      </c>
      <c r="Q33" s="41"/>
      <c r="R33" s="46" t="s">
        <v>85</v>
      </c>
      <c r="S33" s="44"/>
      <c r="T33" s="80"/>
      <c r="U33" s="80"/>
      <c r="V33" s="80"/>
      <c r="W33" s="80"/>
      <c r="X33" s="80"/>
      <c r="Y33" s="80"/>
      <c r="Z33" s="80"/>
      <c r="AA33" s="80"/>
      <c r="AB33" s="80"/>
      <c r="AC33" s="80"/>
      <c r="AD33" s="80"/>
      <c r="AE33" s="80"/>
      <c r="AF33" s="80"/>
      <c r="AG33" s="80"/>
      <c r="AH33" s="80"/>
      <c r="AI33" s="80"/>
      <c r="AJ33" s="80"/>
      <c r="AK33" s="80"/>
      <c r="AL33" s="80"/>
    </row>
    <row r="34" spans="1:38" ht="15.75" customHeight="1" x14ac:dyDescent="0.2">
      <c r="A34" s="41" t="s">
        <v>89</v>
      </c>
      <c r="B34" s="41" t="s">
        <v>18</v>
      </c>
      <c r="C34" s="41" t="s">
        <v>89</v>
      </c>
      <c r="D34" s="41" t="s">
        <v>19</v>
      </c>
      <c r="E34" s="42" t="s">
        <v>19</v>
      </c>
      <c r="F34" s="42" t="s">
        <v>23</v>
      </c>
      <c r="G34" s="42" t="s">
        <v>19</v>
      </c>
      <c r="H34" s="42" t="s">
        <v>23</v>
      </c>
      <c r="I34" s="42" t="s">
        <v>19</v>
      </c>
      <c r="J34" s="42" t="s">
        <v>23</v>
      </c>
      <c r="K34" s="42" t="s">
        <v>19</v>
      </c>
      <c r="L34" s="42" t="s">
        <v>23</v>
      </c>
      <c r="M34" s="42" t="s">
        <v>19</v>
      </c>
      <c r="N34" s="42" t="s">
        <v>23</v>
      </c>
      <c r="O34" s="42" t="s">
        <v>19</v>
      </c>
      <c r="P34" s="43" t="s">
        <v>23</v>
      </c>
      <c r="Q34" s="41"/>
      <c r="R34" s="25" t="s">
        <v>85</v>
      </c>
      <c r="S34" s="44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</row>
    <row r="35" spans="1:38" ht="15.75" customHeight="1" x14ac:dyDescent="0.2">
      <c r="A35" s="41" t="s">
        <v>90</v>
      </c>
      <c r="B35" s="41" t="s">
        <v>91</v>
      </c>
      <c r="C35" s="41" t="s">
        <v>90</v>
      </c>
      <c r="D35" s="41" t="s">
        <v>22</v>
      </c>
      <c r="E35" s="42" t="s">
        <v>22</v>
      </c>
      <c r="F35" s="42" t="s">
        <v>23</v>
      </c>
      <c r="G35" s="42" t="s">
        <v>22</v>
      </c>
      <c r="H35" s="42" t="s">
        <v>23</v>
      </c>
      <c r="I35" s="42" t="s">
        <v>22</v>
      </c>
      <c r="J35" s="42" t="s">
        <v>23</v>
      </c>
      <c r="K35" s="42" t="s">
        <v>22</v>
      </c>
      <c r="L35" s="42" t="s">
        <v>23</v>
      </c>
      <c r="M35" s="42" t="s">
        <v>22</v>
      </c>
      <c r="N35" s="42" t="s">
        <v>23</v>
      </c>
      <c r="O35" s="42" t="s">
        <v>22</v>
      </c>
      <c r="P35" s="43" t="s">
        <v>23</v>
      </c>
      <c r="Q35" s="41"/>
      <c r="R35" s="44"/>
      <c r="S35" s="44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</row>
    <row r="36" spans="1:38" ht="15.75" customHeight="1" x14ac:dyDescent="0.2">
      <c r="A36" s="41" t="s">
        <v>92</v>
      </c>
      <c r="B36" s="41" t="s">
        <v>91</v>
      </c>
      <c r="C36" s="41" t="s">
        <v>92</v>
      </c>
      <c r="D36" s="41" t="s">
        <v>19</v>
      </c>
      <c r="E36" s="42" t="s">
        <v>19</v>
      </c>
      <c r="F36" s="42" t="s">
        <v>23</v>
      </c>
      <c r="G36" s="42" t="s">
        <v>19</v>
      </c>
      <c r="H36" s="42" t="s">
        <v>23</v>
      </c>
      <c r="I36" s="42" t="s">
        <v>19</v>
      </c>
      <c r="J36" s="42" t="s">
        <v>23</v>
      </c>
      <c r="K36" s="42" t="s">
        <v>19</v>
      </c>
      <c r="L36" s="42" t="s">
        <v>23</v>
      </c>
      <c r="M36" s="42" t="s">
        <v>19</v>
      </c>
      <c r="N36" s="42" t="s">
        <v>23</v>
      </c>
      <c r="O36" s="42" t="s">
        <v>19</v>
      </c>
      <c r="P36" s="43" t="s">
        <v>23</v>
      </c>
      <c r="Q36" s="41"/>
      <c r="R36" s="44"/>
      <c r="S36" s="44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7"/>
      <c r="AJ36" s="7"/>
      <c r="AK36" s="7"/>
      <c r="AL36" s="7"/>
    </row>
    <row r="37" spans="1:38" ht="15.75" customHeight="1" x14ac:dyDescent="0.2">
      <c r="A37" s="41" t="s">
        <v>93</v>
      </c>
      <c r="B37" s="41" t="s">
        <v>87</v>
      </c>
      <c r="C37" s="41" t="s">
        <v>93</v>
      </c>
      <c r="D37" s="41" t="s">
        <v>19</v>
      </c>
      <c r="E37" s="42" t="s">
        <v>22</v>
      </c>
      <c r="F37" s="42" t="s">
        <v>25</v>
      </c>
      <c r="G37" s="42" t="s">
        <v>22</v>
      </c>
      <c r="H37" s="42" t="s">
        <v>25</v>
      </c>
      <c r="I37" s="42" t="s">
        <v>22</v>
      </c>
      <c r="J37" s="42" t="s">
        <v>25</v>
      </c>
      <c r="K37" s="42" t="s">
        <v>22</v>
      </c>
      <c r="L37" s="42" t="s">
        <v>25</v>
      </c>
      <c r="M37" s="42" t="s">
        <v>22</v>
      </c>
      <c r="N37" s="42" t="s">
        <v>345</v>
      </c>
      <c r="O37" s="42" t="s">
        <v>22</v>
      </c>
      <c r="P37" s="24" t="s">
        <v>345</v>
      </c>
      <c r="Q37" s="41"/>
      <c r="R37" s="44"/>
      <c r="S37" s="4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4"/>
    </row>
    <row r="38" spans="1:38" ht="15.75" customHeight="1" x14ac:dyDescent="0.2">
      <c r="A38" s="41" t="s">
        <v>94</v>
      </c>
      <c r="B38" s="41" t="s">
        <v>18</v>
      </c>
      <c r="C38" s="41" t="s">
        <v>94</v>
      </c>
      <c r="D38" s="41" t="s">
        <v>19</v>
      </c>
      <c r="E38" s="42" t="s">
        <v>19</v>
      </c>
      <c r="F38" s="42" t="s">
        <v>23</v>
      </c>
      <c r="G38" s="42" t="s">
        <v>19</v>
      </c>
      <c r="H38" s="42" t="s">
        <v>23</v>
      </c>
      <c r="I38" s="42" t="s">
        <v>19</v>
      </c>
      <c r="J38" s="42" t="s">
        <v>23</v>
      </c>
      <c r="K38" s="42" t="s">
        <v>19</v>
      </c>
      <c r="L38" s="42" t="s">
        <v>23</v>
      </c>
      <c r="M38" s="42" t="s">
        <v>19</v>
      </c>
      <c r="N38" s="42" t="s">
        <v>23</v>
      </c>
      <c r="O38" s="42" t="s">
        <v>19</v>
      </c>
      <c r="P38" s="43" t="s">
        <v>23</v>
      </c>
      <c r="Q38" s="41" t="s">
        <v>95</v>
      </c>
      <c r="R38" s="41"/>
      <c r="S38" s="4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4"/>
      <c r="AL38" s="4"/>
    </row>
    <row r="39" spans="1:38" ht="15.75" customHeight="1" x14ac:dyDescent="0.2">
      <c r="A39" s="41" t="s">
        <v>96</v>
      </c>
      <c r="B39" s="41" t="s">
        <v>97</v>
      </c>
      <c r="C39" s="41"/>
      <c r="D39" s="41" t="s">
        <v>22</v>
      </c>
      <c r="E39" s="42" t="s">
        <v>22</v>
      </c>
      <c r="F39" s="42" t="s">
        <v>23</v>
      </c>
      <c r="G39" s="42" t="s">
        <v>22</v>
      </c>
      <c r="H39" s="42" t="s">
        <v>23</v>
      </c>
      <c r="I39" s="42" t="s">
        <v>22</v>
      </c>
      <c r="J39" s="42" t="s">
        <v>23</v>
      </c>
      <c r="K39" s="42" t="s">
        <v>22</v>
      </c>
      <c r="L39" s="42" t="s">
        <v>23</v>
      </c>
      <c r="M39" s="42" t="s">
        <v>22</v>
      </c>
      <c r="N39" s="42" t="s">
        <v>23</v>
      </c>
      <c r="O39" s="42" t="s">
        <v>22</v>
      </c>
      <c r="P39" s="43" t="s">
        <v>23</v>
      </c>
      <c r="Q39" s="41" t="s">
        <v>98</v>
      </c>
      <c r="R39" s="41"/>
      <c r="S39" s="44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</row>
    <row r="40" spans="1:38" ht="15.75" customHeight="1" x14ac:dyDescent="0.2">
      <c r="A40" s="41" t="s">
        <v>99</v>
      </c>
      <c r="B40" s="41" t="s">
        <v>100</v>
      </c>
      <c r="C40" s="41"/>
      <c r="D40" s="41" t="s">
        <v>19</v>
      </c>
      <c r="E40" s="42" t="s">
        <v>22</v>
      </c>
      <c r="F40" s="42" t="s">
        <v>25</v>
      </c>
      <c r="G40" s="42" t="s">
        <v>22</v>
      </c>
      <c r="H40" s="42" t="s">
        <v>25</v>
      </c>
      <c r="I40" s="42" t="s">
        <v>22</v>
      </c>
      <c r="J40" s="42" t="s">
        <v>25</v>
      </c>
      <c r="K40" s="42" t="s">
        <v>22</v>
      </c>
      <c r="L40" s="42" t="s">
        <v>25</v>
      </c>
      <c r="M40" s="42" t="s">
        <v>22</v>
      </c>
      <c r="N40" s="42" t="s">
        <v>345</v>
      </c>
      <c r="O40" s="42" t="s">
        <v>22</v>
      </c>
      <c r="P40" s="24" t="s">
        <v>345</v>
      </c>
      <c r="Q40" s="41"/>
      <c r="R40" s="41"/>
      <c r="S40" s="44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</row>
    <row r="41" spans="1:38" ht="15.75" customHeight="1" x14ac:dyDescent="0.2">
      <c r="A41" s="41" t="s">
        <v>101</v>
      </c>
      <c r="B41" s="41" t="s">
        <v>18</v>
      </c>
      <c r="C41" s="41"/>
      <c r="D41" s="41" t="s">
        <v>22</v>
      </c>
      <c r="E41" s="42" t="s">
        <v>22</v>
      </c>
      <c r="F41" s="42" t="s">
        <v>23</v>
      </c>
      <c r="G41" s="42" t="s">
        <v>22</v>
      </c>
      <c r="H41" s="42" t="s">
        <v>23</v>
      </c>
      <c r="I41" s="42" t="s">
        <v>22</v>
      </c>
      <c r="J41" s="42" t="s">
        <v>23</v>
      </c>
      <c r="K41" s="42" t="s">
        <v>22</v>
      </c>
      <c r="L41" s="42" t="s">
        <v>23</v>
      </c>
      <c r="M41" s="42" t="s">
        <v>22</v>
      </c>
      <c r="N41" s="42" t="s">
        <v>23</v>
      </c>
      <c r="O41" s="42" t="s">
        <v>22</v>
      </c>
      <c r="P41" s="43" t="s">
        <v>23</v>
      </c>
      <c r="Q41" s="41" t="s">
        <v>98</v>
      </c>
      <c r="R41" s="41"/>
      <c r="S41" s="44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</row>
    <row r="42" spans="1:38" ht="15.75" customHeight="1" x14ac:dyDescent="0.2">
      <c r="A42" s="41" t="s">
        <v>102</v>
      </c>
      <c r="B42" s="41" t="s">
        <v>18</v>
      </c>
      <c r="C42" s="41"/>
      <c r="D42" s="41" t="s">
        <v>19</v>
      </c>
      <c r="E42" s="42" t="s">
        <v>22</v>
      </c>
      <c r="F42" s="42" t="s">
        <v>25</v>
      </c>
      <c r="G42" s="42" t="s">
        <v>22</v>
      </c>
      <c r="H42" s="42" t="s">
        <v>25</v>
      </c>
      <c r="I42" s="42" t="s">
        <v>22</v>
      </c>
      <c r="J42" s="42" t="s">
        <v>25</v>
      </c>
      <c r="K42" s="42" t="s">
        <v>22</v>
      </c>
      <c r="L42" s="42" t="s">
        <v>25</v>
      </c>
      <c r="M42" s="42" t="s">
        <v>22</v>
      </c>
      <c r="N42" s="42" t="s">
        <v>345</v>
      </c>
      <c r="O42" s="42" t="s">
        <v>22</v>
      </c>
      <c r="P42" s="24" t="s">
        <v>345</v>
      </c>
      <c r="Q42" s="41" t="s">
        <v>98</v>
      </c>
      <c r="R42" s="41" t="s">
        <v>103</v>
      </c>
      <c r="S42" s="44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</row>
    <row r="43" spans="1:38" ht="15.75" customHeight="1" x14ac:dyDescent="0.2">
      <c r="A43" s="41" t="s">
        <v>104</v>
      </c>
      <c r="B43" s="41" t="s">
        <v>80</v>
      </c>
      <c r="C43" s="41" t="s">
        <v>104</v>
      </c>
      <c r="D43" s="41" t="s">
        <v>22</v>
      </c>
      <c r="E43" s="42" t="s">
        <v>22</v>
      </c>
      <c r="F43" s="42" t="s">
        <v>23</v>
      </c>
      <c r="G43" s="42" t="s">
        <v>22</v>
      </c>
      <c r="H43" s="42" t="s">
        <v>23</v>
      </c>
      <c r="I43" s="42" t="s">
        <v>22</v>
      </c>
      <c r="J43" s="42" t="s">
        <v>23</v>
      </c>
      <c r="K43" s="42" t="s">
        <v>22</v>
      </c>
      <c r="L43" s="42" t="s">
        <v>23</v>
      </c>
      <c r="M43" s="42" t="s">
        <v>22</v>
      </c>
      <c r="N43" s="42" t="s">
        <v>23</v>
      </c>
      <c r="O43" s="42" t="s">
        <v>22</v>
      </c>
      <c r="P43" s="43" t="s">
        <v>23</v>
      </c>
      <c r="Q43" s="41" t="s">
        <v>98</v>
      </c>
      <c r="R43" s="41" t="s">
        <v>105</v>
      </c>
      <c r="S43" s="4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</row>
    <row r="44" spans="1:38" ht="15.75" customHeight="1" x14ac:dyDescent="0.2">
      <c r="A44" s="41" t="s">
        <v>106</v>
      </c>
      <c r="B44" s="41" t="s">
        <v>80</v>
      </c>
      <c r="C44" s="41" t="s">
        <v>106</v>
      </c>
      <c r="D44" s="41" t="s">
        <v>19</v>
      </c>
      <c r="E44" s="42" t="s">
        <v>22</v>
      </c>
      <c r="F44" s="42" t="s">
        <v>25</v>
      </c>
      <c r="G44" s="42" t="s">
        <v>22</v>
      </c>
      <c r="H44" s="42" t="s">
        <v>25</v>
      </c>
      <c r="I44" s="42" t="s">
        <v>22</v>
      </c>
      <c r="J44" s="42" t="s">
        <v>25</v>
      </c>
      <c r="K44" s="42" t="s">
        <v>22</v>
      </c>
      <c r="L44" s="42" t="s">
        <v>25</v>
      </c>
      <c r="M44" s="42" t="s">
        <v>22</v>
      </c>
      <c r="N44" s="42" t="s">
        <v>345</v>
      </c>
      <c r="O44" s="42" t="s">
        <v>22</v>
      </c>
      <c r="P44" s="24" t="s">
        <v>345</v>
      </c>
      <c r="Q44" s="41" t="s">
        <v>98</v>
      </c>
      <c r="R44" s="41" t="s">
        <v>105</v>
      </c>
      <c r="S44" s="4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</row>
    <row r="45" spans="1:38" ht="15.75" customHeight="1" x14ac:dyDescent="0.2">
      <c r="A45" s="41" t="s">
        <v>107</v>
      </c>
      <c r="B45" s="41" t="s">
        <v>80</v>
      </c>
      <c r="C45" s="41" t="s">
        <v>107</v>
      </c>
      <c r="D45" s="41" t="s">
        <v>22</v>
      </c>
      <c r="E45" s="42" t="s">
        <v>22</v>
      </c>
      <c r="F45" s="42" t="s">
        <v>23</v>
      </c>
      <c r="G45" s="42" t="s">
        <v>22</v>
      </c>
      <c r="H45" s="42" t="s">
        <v>23</v>
      </c>
      <c r="I45" s="42" t="s">
        <v>22</v>
      </c>
      <c r="J45" s="42" t="s">
        <v>23</v>
      </c>
      <c r="K45" s="42" t="s">
        <v>22</v>
      </c>
      <c r="L45" s="42" t="s">
        <v>23</v>
      </c>
      <c r="M45" s="42" t="s">
        <v>22</v>
      </c>
      <c r="N45" s="42" t="s">
        <v>23</v>
      </c>
      <c r="O45" s="42" t="s">
        <v>22</v>
      </c>
      <c r="P45" s="43" t="s">
        <v>23</v>
      </c>
      <c r="Q45" s="41" t="s">
        <v>98</v>
      </c>
      <c r="R45" s="44" t="s">
        <v>108</v>
      </c>
      <c r="S45" s="44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</row>
    <row r="46" spans="1:38" ht="15.75" customHeight="1" x14ac:dyDescent="0.2">
      <c r="A46" s="41" t="s">
        <v>109</v>
      </c>
      <c r="B46" s="41" t="s">
        <v>80</v>
      </c>
      <c r="C46" s="41" t="s">
        <v>109</v>
      </c>
      <c r="D46" s="41" t="s">
        <v>19</v>
      </c>
      <c r="E46" s="42" t="s">
        <v>19</v>
      </c>
      <c r="F46" s="42" t="s">
        <v>23</v>
      </c>
      <c r="G46" s="42" t="s">
        <v>19</v>
      </c>
      <c r="H46" s="42" t="s">
        <v>23</v>
      </c>
      <c r="I46" s="42" t="s">
        <v>19</v>
      </c>
      <c r="J46" s="42" t="s">
        <v>23</v>
      </c>
      <c r="K46" s="42" t="s">
        <v>19</v>
      </c>
      <c r="L46" s="42" t="s">
        <v>23</v>
      </c>
      <c r="M46" s="42" t="s">
        <v>19</v>
      </c>
      <c r="N46" s="42" t="s">
        <v>23</v>
      </c>
      <c r="O46" s="42" t="s">
        <v>19</v>
      </c>
      <c r="P46" s="43" t="s">
        <v>23</v>
      </c>
      <c r="Q46" s="41" t="s">
        <v>98</v>
      </c>
      <c r="R46" s="44" t="s">
        <v>108</v>
      </c>
      <c r="S46" s="4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</row>
    <row r="47" spans="1:38" ht="15.75" customHeight="1" x14ac:dyDescent="0.2">
      <c r="A47" s="41" t="s">
        <v>110</v>
      </c>
      <c r="B47" s="41" t="s">
        <v>18</v>
      </c>
      <c r="C47" s="41" t="s">
        <v>110</v>
      </c>
      <c r="D47" s="41" t="s">
        <v>22</v>
      </c>
      <c r="E47" s="42" t="s">
        <v>22</v>
      </c>
      <c r="F47" s="42" t="s">
        <v>23</v>
      </c>
      <c r="G47" s="42" t="s">
        <v>22</v>
      </c>
      <c r="H47" s="42" t="s">
        <v>23</v>
      </c>
      <c r="I47" s="42" t="s">
        <v>22</v>
      </c>
      <c r="J47" s="42" t="s">
        <v>23</v>
      </c>
      <c r="K47" s="42" t="s">
        <v>22</v>
      </c>
      <c r="L47" s="42" t="s">
        <v>23</v>
      </c>
      <c r="M47" s="42" t="s">
        <v>22</v>
      </c>
      <c r="N47" s="42" t="s">
        <v>23</v>
      </c>
      <c r="O47" s="42" t="s">
        <v>22</v>
      </c>
      <c r="P47" s="43" t="s">
        <v>23</v>
      </c>
      <c r="Q47" s="41"/>
      <c r="R47" s="41"/>
      <c r="S47" s="44"/>
      <c r="T47" s="9"/>
      <c r="U47" s="9"/>
      <c r="V47" s="9"/>
      <c r="W47" s="9"/>
      <c r="X47" s="9"/>
      <c r="Y47" s="9"/>
      <c r="Z47" s="9"/>
      <c r="AA47" s="9"/>
      <c r="AB47" s="9"/>
      <c r="AC47" s="9"/>
      <c r="AD47" s="9"/>
      <c r="AE47" s="9"/>
      <c r="AF47" s="9"/>
      <c r="AG47" s="9"/>
      <c r="AH47" s="9"/>
      <c r="AI47" s="9"/>
      <c r="AJ47" s="9"/>
      <c r="AK47" s="9"/>
      <c r="AL47" s="9"/>
    </row>
    <row r="48" spans="1:38" ht="15.75" customHeight="1" x14ac:dyDescent="0.2">
      <c r="A48" s="41" t="s">
        <v>111</v>
      </c>
      <c r="B48" s="41" t="s">
        <v>18</v>
      </c>
      <c r="C48" s="41" t="s">
        <v>111</v>
      </c>
      <c r="D48" s="41" t="s">
        <v>19</v>
      </c>
      <c r="E48" s="42" t="s">
        <v>19</v>
      </c>
      <c r="F48" s="42" t="s">
        <v>23</v>
      </c>
      <c r="G48" s="42" t="s">
        <v>19</v>
      </c>
      <c r="H48" s="42" t="s">
        <v>23</v>
      </c>
      <c r="I48" s="42" t="s">
        <v>19</v>
      </c>
      <c r="J48" s="42" t="s">
        <v>23</v>
      </c>
      <c r="K48" s="42" t="s">
        <v>19</v>
      </c>
      <c r="L48" s="42" t="s">
        <v>23</v>
      </c>
      <c r="M48" s="42" t="s">
        <v>19</v>
      </c>
      <c r="N48" s="42" t="s">
        <v>23</v>
      </c>
      <c r="O48" s="42" t="s">
        <v>19</v>
      </c>
      <c r="P48" s="43" t="s">
        <v>23</v>
      </c>
      <c r="Q48" s="41"/>
      <c r="R48" s="41"/>
      <c r="S48" s="4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</row>
    <row r="49" spans="1:38" ht="15.75" customHeight="1" x14ac:dyDescent="0.2">
      <c r="A49" s="24" t="s">
        <v>112</v>
      </c>
      <c r="B49" s="24" t="s">
        <v>39</v>
      </c>
      <c r="C49" s="24" t="s">
        <v>112</v>
      </c>
      <c r="D49" s="24" t="s">
        <v>19</v>
      </c>
      <c r="E49" s="42" t="s">
        <v>19</v>
      </c>
      <c r="F49" s="42" t="s">
        <v>23</v>
      </c>
      <c r="G49" s="42" t="s">
        <v>22</v>
      </c>
      <c r="H49" s="42" t="s">
        <v>25</v>
      </c>
      <c r="I49" s="42" t="s">
        <v>19</v>
      </c>
      <c r="J49" s="42" t="s">
        <v>23</v>
      </c>
      <c r="K49" s="42" t="s">
        <v>19</v>
      </c>
      <c r="L49" s="42" t="s">
        <v>23</v>
      </c>
      <c r="M49" s="42" t="s">
        <v>19</v>
      </c>
      <c r="N49" s="42" t="s">
        <v>23</v>
      </c>
      <c r="O49" s="42" t="s">
        <v>22</v>
      </c>
      <c r="P49" s="24" t="s">
        <v>345</v>
      </c>
      <c r="Q49" s="24" t="s">
        <v>113</v>
      </c>
      <c r="R49" s="41"/>
      <c r="S49" s="41" t="s">
        <v>114</v>
      </c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  <c r="AK49" s="4"/>
      <c r="AL49" s="4"/>
    </row>
    <row r="50" spans="1:38" ht="15.75" customHeight="1" x14ac:dyDescent="0.2">
      <c r="A50" s="13" t="s">
        <v>115</v>
      </c>
      <c r="B50" s="13" t="s">
        <v>116</v>
      </c>
      <c r="C50" s="13" t="s">
        <v>115</v>
      </c>
      <c r="D50" s="13" t="s">
        <v>22</v>
      </c>
      <c r="E50" s="42" t="s">
        <v>22</v>
      </c>
      <c r="F50" s="42" t="s">
        <v>23</v>
      </c>
      <c r="G50" s="42" t="s">
        <v>22</v>
      </c>
      <c r="H50" s="42" t="s">
        <v>23</v>
      </c>
      <c r="I50" s="42" t="s">
        <v>22</v>
      </c>
      <c r="J50" s="42" t="s">
        <v>23</v>
      </c>
      <c r="K50" s="42" t="s">
        <v>22</v>
      </c>
      <c r="L50" s="42" t="s">
        <v>23</v>
      </c>
      <c r="M50" s="42" t="s">
        <v>22</v>
      </c>
      <c r="N50" s="42" t="s">
        <v>23</v>
      </c>
      <c r="O50" s="42" t="s">
        <v>22</v>
      </c>
      <c r="P50" s="43" t="s">
        <v>23</v>
      </c>
      <c r="Q50" s="13"/>
      <c r="R50" s="41"/>
      <c r="S50" s="44"/>
      <c r="T50" s="10"/>
      <c r="U50" s="8"/>
      <c r="V50" s="8"/>
      <c r="W50" s="8"/>
      <c r="X50" s="8"/>
      <c r="Y50" s="8"/>
      <c r="Z50" s="8"/>
      <c r="AA50" s="8"/>
      <c r="AB50" s="8"/>
      <c r="AC50" s="8"/>
      <c r="AD50" s="8"/>
      <c r="AE50" s="8"/>
      <c r="AF50" s="8"/>
      <c r="AG50" s="8"/>
      <c r="AH50" s="8"/>
      <c r="AI50" s="8"/>
      <c r="AJ50" s="8"/>
      <c r="AK50" s="8"/>
      <c r="AL50" s="8"/>
    </row>
    <row r="51" spans="1:38" ht="15.75" customHeight="1" x14ac:dyDescent="0.2">
      <c r="A51" s="13" t="s">
        <v>117</v>
      </c>
      <c r="B51" s="13" t="s">
        <v>116</v>
      </c>
      <c r="C51" s="13" t="s">
        <v>117</v>
      </c>
      <c r="D51" s="13" t="s">
        <v>19</v>
      </c>
      <c r="E51" s="16" t="s">
        <v>19</v>
      </c>
      <c r="F51" s="42" t="s">
        <v>23</v>
      </c>
      <c r="G51" s="16" t="s">
        <v>19</v>
      </c>
      <c r="H51" s="42" t="s">
        <v>23</v>
      </c>
      <c r="I51" s="16" t="s">
        <v>19</v>
      </c>
      <c r="J51" s="42" t="s">
        <v>23</v>
      </c>
      <c r="K51" s="16" t="s">
        <v>19</v>
      </c>
      <c r="L51" s="42" t="s">
        <v>23</v>
      </c>
      <c r="M51" s="16" t="s">
        <v>19</v>
      </c>
      <c r="N51" s="42" t="s">
        <v>23</v>
      </c>
      <c r="O51" s="16" t="s">
        <v>19</v>
      </c>
      <c r="P51" s="43" t="s">
        <v>23</v>
      </c>
      <c r="Q51" s="13"/>
      <c r="R51" s="41"/>
      <c r="S51" s="44"/>
      <c r="T51" s="10"/>
      <c r="U51" s="8"/>
      <c r="V51" s="8"/>
      <c r="W51" s="8"/>
      <c r="X51" s="8"/>
      <c r="Y51" s="8"/>
      <c r="Z51" s="8"/>
      <c r="AA51" s="8"/>
      <c r="AB51" s="8"/>
      <c r="AC51" s="8"/>
      <c r="AD51" s="8"/>
      <c r="AE51" s="8"/>
      <c r="AF51" s="8"/>
      <c r="AG51" s="8"/>
      <c r="AH51" s="8"/>
      <c r="AI51" s="8"/>
      <c r="AJ51" s="8"/>
      <c r="AK51" s="8"/>
      <c r="AL51" s="8"/>
    </row>
    <row r="52" spans="1:38" ht="15.75" customHeight="1" x14ac:dyDescent="0.2">
      <c r="A52" s="41" t="s">
        <v>118</v>
      </c>
      <c r="B52" s="41" t="s">
        <v>119</v>
      </c>
      <c r="C52" s="41"/>
      <c r="D52" s="41" t="s">
        <v>22</v>
      </c>
      <c r="E52" s="42" t="s">
        <v>22</v>
      </c>
      <c r="F52" s="42" t="s">
        <v>23</v>
      </c>
      <c r="G52" s="42" t="s">
        <v>22</v>
      </c>
      <c r="H52" s="42" t="s">
        <v>23</v>
      </c>
      <c r="I52" s="42" t="s">
        <v>22</v>
      </c>
      <c r="J52" s="42" t="s">
        <v>23</v>
      </c>
      <c r="K52" s="42" t="s">
        <v>22</v>
      </c>
      <c r="L52" s="42" t="s">
        <v>23</v>
      </c>
      <c r="M52" s="42" t="s">
        <v>22</v>
      </c>
      <c r="N52" s="42" t="s">
        <v>23</v>
      </c>
      <c r="O52" s="42" t="s">
        <v>22</v>
      </c>
      <c r="P52" s="43" t="s">
        <v>23</v>
      </c>
      <c r="Q52" s="41" t="s">
        <v>60</v>
      </c>
      <c r="R52" s="44" t="s">
        <v>43</v>
      </c>
      <c r="S52" s="44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</row>
    <row r="53" spans="1:38" ht="15.75" customHeight="1" x14ac:dyDescent="0.2">
      <c r="A53" s="41" t="s">
        <v>120</v>
      </c>
      <c r="B53" s="41" t="s">
        <v>18</v>
      </c>
      <c r="C53" s="41" t="s">
        <v>120</v>
      </c>
      <c r="D53" s="41" t="s">
        <v>22</v>
      </c>
      <c r="E53" s="42" t="s">
        <v>22</v>
      </c>
      <c r="F53" s="42" t="s">
        <v>23</v>
      </c>
      <c r="G53" s="42" t="s">
        <v>22</v>
      </c>
      <c r="H53" s="42" t="s">
        <v>23</v>
      </c>
      <c r="I53" s="42" t="s">
        <v>22</v>
      </c>
      <c r="J53" s="42" t="s">
        <v>23</v>
      </c>
      <c r="K53" s="42" t="s">
        <v>22</v>
      </c>
      <c r="L53" s="42" t="s">
        <v>23</v>
      </c>
      <c r="M53" s="42" t="s">
        <v>22</v>
      </c>
      <c r="N53" s="42" t="s">
        <v>23</v>
      </c>
      <c r="O53" s="42" t="s">
        <v>22</v>
      </c>
      <c r="P53" s="43" t="s">
        <v>23</v>
      </c>
      <c r="Q53" s="41"/>
      <c r="R53" s="41"/>
      <c r="S53" s="44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</row>
    <row r="54" spans="1:38" ht="15.75" customHeight="1" x14ac:dyDescent="0.2">
      <c r="A54" s="41" t="s">
        <v>121</v>
      </c>
      <c r="B54" s="41" t="s">
        <v>39</v>
      </c>
      <c r="C54" s="41" t="s">
        <v>121</v>
      </c>
      <c r="D54" s="41" t="s">
        <v>22</v>
      </c>
      <c r="E54" s="42" t="s">
        <v>22</v>
      </c>
      <c r="F54" s="42" t="s">
        <v>23</v>
      </c>
      <c r="G54" s="42" t="s">
        <v>22</v>
      </c>
      <c r="H54" s="42" t="s">
        <v>23</v>
      </c>
      <c r="I54" s="42" t="s">
        <v>22</v>
      </c>
      <c r="J54" s="42" t="s">
        <v>23</v>
      </c>
      <c r="K54" s="42" t="s">
        <v>22</v>
      </c>
      <c r="L54" s="42" t="s">
        <v>23</v>
      </c>
      <c r="M54" s="42" t="s">
        <v>22</v>
      </c>
      <c r="N54" s="42" t="s">
        <v>23</v>
      </c>
      <c r="O54" s="42" t="s">
        <v>22</v>
      </c>
      <c r="P54" s="43" t="s">
        <v>23</v>
      </c>
      <c r="Q54" s="41"/>
      <c r="R54" s="41"/>
      <c r="S54" s="44"/>
      <c r="T54" s="7"/>
      <c r="U54" s="7"/>
      <c r="V54" s="7"/>
      <c r="W54" s="7"/>
      <c r="X54" s="7"/>
      <c r="Y54" s="7"/>
      <c r="Z54" s="7"/>
      <c r="AA54" s="7"/>
      <c r="AB54" s="7"/>
      <c r="AC54" s="7"/>
      <c r="AD54" s="7"/>
      <c r="AE54" s="7"/>
      <c r="AF54" s="7"/>
      <c r="AG54" s="7"/>
      <c r="AH54" s="7"/>
      <c r="AI54" s="7"/>
      <c r="AJ54" s="7"/>
      <c r="AK54" s="7"/>
      <c r="AL54" s="7"/>
    </row>
    <row r="55" spans="1:38" ht="15.75" customHeight="1" x14ac:dyDescent="0.2">
      <c r="A55" s="41" t="s">
        <v>122</v>
      </c>
      <c r="B55" s="41" t="s">
        <v>39</v>
      </c>
      <c r="C55" s="41"/>
      <c r="D55" s="41" t="s">
        <v>22</v>
      </c>
      <c r="E55" s="42" t="s">
        <v>22</v>
      </c>
      <c r="F55" s="42" t="s">
        <v>23</v>
      </c>
      <c r="G55" s="42" t="s">
        <v>22</v>
      </c>
      <c r="H55" s="42" t="s">
        <v>23</v>
      </c>
      <c r="I55" s="42" t="s">
        <v>22</v>
      </c>
      <c r="J55" s="42" t="s">
        <v>23</v>
      </c>
      <c r="K55" s="42" t="s">
        <v>22</v>
      </c>
      <c r="L55" s="42" t="s">
        <v>23</v>
      </c>
      <c r="M55" s="42" t="s">
        <v>22</v>
      </c>
      <c r="N55" s="42" t="s">
        <v>23</v>
      </c>
      <c r="O55" s="42" t="s">
        <v>22</v>
      </c>
      <c r="P55" s="43" t="s">
        <v>23</v>
      </c>
      <c r="Q55" s="41"/>
      <c r="R55" s="41"/>
      <c r="S55" s="44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</row>
    <row r="56" spans="1:38" ht="15.75" customHeight="1" x14ac:dyDescent="0.2">
      <c r="A56" s="41" t="s">
        <v>123</v>
      </c>
      <c r="B56" s="41" t="s">
        <v>39</v>
      </c>
      <c r="C56" s="41"/>
      <c r="D56" s="41" t="s">
        <v>19</v>
      </c>
      <c r="E56" s="42" t="s">
        <v>22</v>
      </c>
      <c r="F56" s="42" t="s">
        <v>25</v>
      </c>
      <c r="G56" s="42" t="s">
        <v>22</v>
      </c>
      <c r="H56" s="42" t="s">
        <v>25</v>
      </c>
      <c r="I56" s="42" t="s">
        <v>22</v>
      </c>
      <c r="J56" s="42" t="s">
        <v>25</v>
      </c>
      <c r="K56" s="42" t="s">
        <v>22</v>
      </c>
      <c r="L56" s="42" t="s">
        <v>25</v>
      </c>
      <c r="M56" s="42" t="s">
        <v>22</v>
      </c>
      <c r="N56" s="42" t="s">
        <v>345</v>
      </c>
      <c r="O56" s="42" t="s">
        <v>22</v>
      </c>
      <c r="P56" s="24" t="s">
        <v>345</v>
      </c>
      <c r="Q56" s="41" t="s">
        <v>124</v>
      </c>
      <c r="R56" s="41"/>
      <c r="S56" s="44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</row>
    <row r="57" spans="1:38" ht="15.75" customHeight="1" x14ac:dyDescent="0.2">
      <c r="A57" s="41" t="s">
        <v>125</v>
      </c>
      <c r="B57" s="41" t="s">
        <v>39</v>
      </c>
      <c r="C57" s="41" t="s">
        <v>125</v>
      </c>
      <c r="D57" s="41" t="s">
        <v>22</v>
      </c>
      <c r="E57" s="42" t="s">
        <v>22</v>
      </c>
      <c r="F57" s="42" t="s">
        <v>23</v>
      </c>
      <c r="G57" s="42" t="s">
        <v>22</v>
      </c>
      <c r="H57" s="42" t="s">
        <v>23</v>
      </c>
      <c r="I57" s="42" t="s">
        <v>22</v>
      </c>
      <c r="J57" s="42" t="s">
        <v>23</v>
      </c>
      <c r="K57" s="42" t="s">
        <v>22</v>
      </c>
      <c r="L57" s="42" t="s">
        <v>23</v>
      </c>
      <c r="M57" s="42" t="s">
        <v>22</v>
      </c>
      <c r="N57" s="42" t="s">
        <v>23</v>
      </c>
      <c r="O57" s="42" t="s">
        <v>22</v>
      </c>
      <c r="P57" s="43" t="s">
        <v>23</v>
      </c>
      <c r="Q57" s="41"/>
      <c r="R57" s="41"/>
      <c r="S57" s="44"/>
      <c r="T57" s="9"/>
      <c r="U57" s="9"/>
      <c r="V57" s="9"/>
      <c r="W57" s="9"/>
      <c r="X57" s="9"/>
      <c r="Y57" s="9"/>
      <c r="Z57" s="9"/>
      <c r="AA57" s="9"/>
      <c r="AB57" s="9"/>
      <c r="AC57" s="9"/>
      <c r="AD57" s="9"/>
      <c r="AE57" s="9"/>
      <c r="AF57" s="9"/>
      <c r="AG57" s="9"/>
      <c r="AH57" s="9"/>
      <c r="AI57" s="9"/>
      <c r="AJ57" s="9"/>
      <c r="AK57" s="9"/>
      <c r="AL57" s="9"/>
    </row>
    <row r="58" spans="1:38" ht="15.75" customHeight="1" x14ac:dyDescent="0.2">
      <c r="A58" s="41" t="s">
        <v>126</v>
      </c>
      <c r="B58" s="41" t="s">
        <v>39</v>
      </c>
      <c r="C58" s="41" t="s">
        <v>126</v>
      </c>
      <c r="D58" s="41" t="s">
        <v>19</v>
      </c>
      <c r="E58" s="42" t="s">
        <v>22</v>
      </c>
      <c r="F58" s="42" t="s">
        <v>25</v>
      </c>
      <c r="G58" s="42" t="s">
        <v>22</v>
      </c>
      <c r="H58" s="42" t="s">
        <v>25</v>
      </c>
      <c r="I58" s="42" t="s">
        <v>22</v>
      </c>
      <c r="J58" s="42" t="s">
        <v>25</v>
      </c>
      <c r="K58" s="42" t="s">
        <v>22</v>
      </c>
      <c r="L58" s="42" t="s">
        <v>25</v>
      </c>
      <c r="M58" s="42" t="s">
        <v>22</v>
      </c>
      <c r="N58" s="42" t="s">
        <v>345</v>
      </c>
      <c r="O58" s="42" t="s">
        <v>22</v>
      </c>
      <c r="P58" s="24" t="s">
        <v>345</v>
      </c>
      <c r="Q58" s="41" t="s">
        <v>124</v>
      </c>
      <c r="R58" s="41"/>
      <c r="S58" s="44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</row>
    <row r="59" spans="1:38" ht="15.75" customHeight="1" x14ac:dyDescent="0.2">
      <c r="A59" s="41" t="s">
        <v>127</v>
      </c>
      <c r="B59" s="41" t="s">
        <v>39</v>
      </c>
      <c r="C59" s="41" t="s">
        <v>127</v>
      </c>
      <c r="D59" s="41" t="s">
        <v>22</v>
      </c>
      <c r="E59" s="42" t="s">
        <v>22</v>
      </c>
      <c r="F59" s="42" t="s">
        <v>23</v>
      </c>
      <c r="G59" s="42" t="s">
        <v>22</v>
      </c>
      <c r="H59" s="42" t="s">
        <v>23</v>
      </c>
      <c r="I59" s="42" t="s">
        <v>22</v>
      </c>
      <c r="J59" s="42" t="s">
        <v>23</v>
      </c>
      <c r="K59" s="42" t="s">
        <v>22</v>
      </c>
      <c r="L59" s="42" t="s">
        <v>23</v>
      </c>
      <c r="M59" s="42" t="s">
        <v>22</v>
      </c>
      <c r="N59" s="42" t="s">
        <v>23</v>
      </c>
      <c r="O59" s="42" t="s">
        <v>22</v>
      </c>
      <c r="P59" s="43" t="s">
        <v>23</v>
      </c>
      <c r="Q59" s="41"/>
      <c r="R59" s="41"/>
      <c r="S59" s="44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</row>
    <row r="60" spans="1:38" ht="15.75" customHeight="1" x14ac:dyDescent="0.2">
      <c r="A60" s="41" t="s">
        <v>128</v>
      </c>
      <c r="B60" s="41" t="s">
        <v>39</v>
      </c>
      <c r="C60" s="41" t="s">
        <v>128</v>
      </c>
      <c r="D60" s="41" t="s">
        <v>19</v>
      </c>
      <c r="E60" s="42" t="s">
        <v>19</v>
      </c>
      <c r="F60" s="42" t="s">
        <v>23</v>
      </c>
      <c r="G60" s="42" t="s">
        <v>19</v>
      </c>
      <c r="H60" s="42" t="s">
        <v>23</v>
      </c>
      <c r="I60" s="42" t="s">
        <v>19</v>
      </c>
      <c r="J60" s="42" t="s">
        <v>23</v>
      </c>
      <c r="K60" s="42" t="s">
        <v>22</v>
      </c>
      <c r="L60" s="42" t="s">
        <v>25</v>
      </c>
      <c r="M60" s="42" t="s">
        <v>19</v>
      </c>
      <c r="N60" s="42" t="s">
        <v>23</v>
      </c>
      <c r="O60" s="42" t="s">
        <v>19</v>
      </c>
      <c r="P60" s="43" t="s">
        <v>23</v>
      </c>
      <c r="Q60" s="41"/>
      <c r="R60" s="41"/>
      <c r="S60" s="44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</row>
    <row r="61" spans="1:38" ht="15.75" customHeight="1" x14ac:dyDescent="0.2">
      <c r="A61" s="41" t="s">
        <v>129</v>
      </c>
      <c r="B61" s="41" t="s">
        <v>39</v>
      </c>
      <c r="C61" s="41" t="s">
        <v>129</v>
      </c>
      <c r="D61" s="41" t="s">
        <v>22</v>
      </c>
      <c r="E61" s="42" t="s">
        <v>22</v>
      </c>
      <c r="F61" s="42" t="s">
        <v>23</v>
      </c>
      <c r="G61" s="42" t="s">
        <v>22</v>
      </c>
      <c r="H61" s="42" t="s">
        <v>23</v>
      </c>
      <c r="I61" s="42" t="s">
        <v>22</v>
      </c>
      <c r="J61" s="42" t="s">
        <v>23</v>
      </c>
      <c r="K61" s="42" t="s">
        <v>22</v>
      </c>
      <c r="L61" s="42" t="s">
        <v>23</v>
      </c>
      <c r="M61" s="42" t="s">
        <v>22</v>
      </c>
      <c r="N61" s="42" t="s">
        <v>23</v>
      </c>
      <c r="O61" s="42" t="s">
        <v>22</v>
      </c>
      <c r="P61" s="43" t="s">
        <v>23</v>
      </c>
      <c r="Q61" s="41"/>
      <c r="R61" s="41"/>
      <c r="S61" s="44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</row>
    <row r="62" spans="1:38" ht="15.75" customHeight="1" x14ac:dyDescent="0.2">
      <c r="A62" s="41" t="s">
        <v>130</v>
      </c>
      <c r="B62" s="41" t="s">
        <v>39</v>
      </c>
      <c r="C62" s="41" t="s">
        <v>130</v>
      </c>
      <c r="D62" s="41" t="s">
        <v>19</v>
      </c>
      <c r="E62" s="42" t="s">
        <v>22</v>
      </c>
      <c r="F62" s="42" t="s">
        <v>25</v>
      </c>
      <c r="G62" s="42" t="s">
        <v>22</v>
      </c>
      <c r="H62" s="42" t="s">
        <v>25</v>
      </c>
      <c r="I62" s="42" t="s">
        <v>22</v>
      </c>
      <c r="J62" s="42" t="s">
        <v>25</v>
      </c>
      <c r="K62" s="42" t="s">
        <v>22</v>
      </c>
      <c r="L62" s="42" t="s">
        <v>25</v>
      </c>
      <c r="M62" s="42" t="s">
        <v>22</v>
      </c>
      <c r="N62" s="42" t="s">
        <v>345</v>
      </c>
      <c r="O62" s="42" t="s">
        <v>22</v>
      </c>
      <c r="P62" s="24" t="s">
        <v>345</v>
      </c>
      <c r="Q62" s="41"/>
      <c r="R62" s="41"/>
      <c r="S62" s="44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</row>
    <row r="63" spans="1:38" ht="15.75" customHeight="1" x14ac:dyDescent="0.2">
      <c r="A63" s="41" t="s">
        <v>131</v>
      </c>
      <c r="B63" s="41" t="s">
        <v>39</v>
      </c>
      <c r="C63" s="41" t="s">
        <v>131</v>
      </c>
      <c r="D63" s="41" t="s">
        <v>22</v>
      </c>
      <c r="E63" s="42" t="s">
        <v>22</v>
      </c>
      <c r="F63" s="42" t="s">
        <v>23</v>
      </c>
      <c r="G63" s="42" t="s">
        <v>22</v>
      </c>
      <c r="H63" s="42" t="s">
        <v>23</v>
      </c>
      <c r="I63" s="42" t="s">
        <v>22</v>
      </c>
      <c r="J63" s="42" t="s">
        <v>23</v>
      </c>
      <c r="K63" s="42" t="s">
        <v>22</v>
      </c>
      <c r="L63" s="42" t="s">
        <v>23</v>
      </c>
      <c r="M63" s="42" t="s">
        <v>22</v>
      </c>
      <c r="N63" s="42" t="s">
        <v>23</v>
      </c>
      <c r="O63" s="42" t="s">
        <v>22</v>
      </c>
      <c r="P63" s="43" t="s">
        <v>23</v>
      </c>
      <c r="Q63" s="41"/>
      <c r="R63" s="41"/>
      <c r="S63" s="44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</row>
    <row r="64" spans="1:38" ht="15.75" customHeight="1" x14ac:dyDescent="0.2">
      <c r="A64" s="41" t="s">
        <v>132</v>
      </c>
      <c r="B64" s="41" t="s">
        <v>39</v>
      </c>
      <c r="C64" s="41" t="s">
        <v>132</v>
      </c>
      <c r="D64" s="41" t="s">
        <v>22</v>
      </c>
      <c r="E64" s="42" t="s">
        <v>22</v>
      </c>
      <c r="F64" s="42" t="s">
        <v>23</v>
      </c>
      <c r="G64" s="42" t="s">
        <v>22</v>
      </c>
      <c r="H64" s="42" t="s">
        <v>23</v>
      </c>
      <c r="I64" s="42" t="s">
        <v>22</v>
      </c>
      <c r="J64" s="42" t="s">
        <v>23</v>
      </c>
      <c r="K64" s="42" t="s">
        <v>22</v>
      </c>
      <c r="L64" s="42" t="s">
        <v>23</v>
      </c>
      <c r="M64" s="42" t="s">
        <v>22</v>
      </c>
      <c r="N64" s="42" t="s">
        <v>23</v>
      </c>
      <c r="O64" s="42" t="s">
        <v>22</v>
      </c>
      <c r="P64" s="43" t="s">
        <v>23</v>
      </c>
      <c r="Q64" s="41"/>
      <c r="R64" s="41"/>
      <c r="S64" s="44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</row>
    <row r="65" spans="1:38" ht="15.75" customHeight="1" x14ac:dyDescent="0.2">
      <c r="A65" s="41" t="s">
        <v>133</v>
      </c>
      <c r="B65" s="41" t="s">
        <v>39</v>
      </c>
      <c r="C65" s="41" t="s">
        <v>133</v>
      </c>
      <c r="D65" s="41" t="s">
        <v>22</v>
      </c>
      <c r="E65" s="42" t="s">
        <v>22</v>
      </c>
      <c r="F65" s="42" t="s">
        <v>23</v>
      </c>
      <c r="G65" s="42" t="s">
        <v>22</v>
      </c>
      <c r="H65" s="42" t="s">
        <v>23</v>
      </c>
      <c r="I65" s="42" t="s">
        <v>22</v>
      </c>
      <c r="J65" s="42" t="s">
        <v>23</v>
      </c>
      <c r="K65" s="42" t="s">
        <v>22</v>
      </c>
      <c r="L65" s="42" t="s">
        <v>23</v>
      </c>
      <c r="M65" s="42" t="s">
        <v>22</v>
      </c>
      <c r="N65" s="42" t="s">
        <v>23</v>
      </c>
      <c r="O65" s="42" t="s">
        <v>22</v>
      </c>
      <c r="P65" s="43" t="s">
        <v>23</v>
      </c>
      <c r="Q65" s="41"/>
      <c r="R65" s="41"/>
      <c r="S65" s="44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</row>
    <row r="66" spans="1:38" ht="15.75" customHeight="1" x14ac:dyDescent="0.2">
      <c r="A66" s="41" t="s">
        <v>134</v>
      </c>
      <c r="B66" s="41" t="s">
        <v>39</v>
      </c>
      <c r="C66" s="41" t="s">
        <v>134</v>
      </c>
      <c r="D66" s="41" t="s">
        <v>19</v>
      </c>
      <c r="E66" s="42" t="s">
        <v>22</v>
      </c>
      <c r="F66" s="42" t="s">
        <v>25</v>
      </c>
      <c r="G66" s="42" t="s">
        <v>22</v>
      </c>
      <c r="H66" s="42" t="s">
        <v>25</v>
      </c>
      <c r="I66" s="42" t="s">
        <v>22</v>
      </c>
      <c r="J66" s="42" t="s">
        <v>25</v>
      </c>
      <c r="K66" s="42" t="s">
        <v>22</v>
      </c>
      <c r="L66" s="42" t="s">
        <v>25</v>
      </c>
      <c r="M66" s="42" t="s">
        <v>22</v>
      </c>
      <c r="N66" s="42" t="s">
        <v>345</v>
      </c>
      <c r="O66" s="42" t="s">
        <v>22</v>
      </c>
      <c r="P66" s="24" t="s">
        <v>345</v>
      </c>
      <c r="Q66" s="41" t="s">
        <v>124</v>
      </c>
      <c r="R66" s="41"/>
      <c r="S66" s="44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</row>
    <row r="67" spans="1:38" ht="15.75" customHeight="1" x14ac:dyDescent="0.2">
      <c r="A67" s="41" t="s">
        <v>135</v>
      </c>
      <c r="B67" s="41" t="s">
        <v>39</v>
      </c>
      <c r="C67" s="41"/>
      <c r="D67" s="41" t="s">
        <v>22</v>
      </c>
      <c r="E67" s="42" t="s">
        <v>22</v>
      </c>
      <c r="F67" s="42" t="s">
        <v>23</v>
      </c>
      <c r="G67" s="42" t="s">
        <v>22</v>
      </c>
      <c r="H67" s="42" t="s">
        <v>23</v>
      </c>
      <c r="I67" s="42" t="s">
        <v>22</v>
      </c>
      <c r="J67" s="42" t="s">
        <v>23</v>
      </c>
      <c r="K67" s="42" t="s">
        <v>22</v>
      </c>
      <c r="L67" s="42" t="s">
        <v>23</v>
      </c>
      <c r="M67" s="42" t="s">
        <v>22</v>
      </c>
      <c r="N67" s="42" t="s">
        <v>23</v>
      </c>
      <c r="O67" s="42" t="s">
        <v>22</v>
      </c>
      <c r="P67" s="43" t="s">
        <v>23</v>
      </c>
      <c r="Q67" s="41"/>
      <c r="R67" s="41"/>
      <c r="S67" s="44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</row>
    <row r="68" spans="1:38" ht="15.75" customHeight="1" x14ac:dyDescent="0.2">
      <c r="A68" s="41" t="s">
        <v>136</v>
      </c>
      <c r="B68" s="41" t="s">
        <v>18</v>
      </c>
      <c r="C68" s="41" t="s">
        <v>136</v>
      </c>
      <c r="D68" s="41" t="s">
        <v>22</v>
      </c>
      <c r="E68" s="42" t="s">
        <v>22</v>
      </c>
      <c r="F68" s="42" t="s">
        <v>23</v>
      </c>
      <c r="G68" s="42" t="s">
        <v>22</v>
      </c>
      <c r="H68" s="42" t="s">
        <v>23</v>
      </c>
      <c r="I68" s="42" t="s">
        <v>22</v>
      </c>
      <c r="J68" s="42" t="s">
        <v>23</v>
      </c>
      <c r="K68" s="42" t="s">
        <v>22</v>
      </c>
      <c r="L68" s="42" t="s">
        <v>23</v>
      </c>
      <c r="M68" s="42" t="s">
        <v>22</v>
      </c>
      <c r="N68" s="42" t="s">
        <v>23</v>
      </c>
      <c r="O68" s="42" t="s">
        <v>22</v>
      </c>
      <c r="P68" s="43" t="s">
        <v>23</v>
      </c>
      <c r="Q68" s="41"/>
      <c r="R68" s="41"/>
      <c r="S68" s="44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</row>
    <row r="69" spans="1:38" ht="15.75" customHeight="1" x14ac:dyDescent="0.2">
      <c r="A69" s="41" t="s">
        <v>137</v>
      </c>
      <c r="B69" s="41" t="s">
        <v>116</v>
      </c>
      <c r="C69" s="41" t="s">
        <v>137</v>
      </c>
      <c r="D69" s="41" t="s">
        <v>22</v>
      </c>
      <c r="E69" s="42" t="s">
        <v>22</v>
      </c>
      <c r="F69" s="42" t="s">
        <v>23</v>
      </c>
      <c r="G69" s="42" t="s">
        <v>22</v>
      </c>
      <c r="H69" s="42" t="s">
        <v>23</v>
      </c>
      <c r="I69" s="42" t="s">
        <v>22</v>
      </c>
      <c r="J69" s="42" t="s">
        <v>23</v>
      </c>
      <c r="K69" s="42" t="s">
        <v>22</v>
      </c>
      <c r="L69" s="42" t="s">
        <v>23</v>
      </c>
      <c r="M69" s="42" t="s">
        <v>22</v>
      </c>
      <c r="N69" s="42" t="s">
        <v>23</v>
      </c>
      <c r="O69" s="42" t="s">
        <v>22</v>
      </c>
      <c r="P69" s="43" t="s">
        <v>23</v>
      </c>
      <c r="Q69" s="41"/>
      <c r="R69" s="41"/>
      <c r="S69" s="44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</row>
    <row r="70" spans="1:38" ht="15.75" customHeight="1" x14ac:dyDescent="0.2">
      <c r="A70" s="41" t="s">
        <v>138</v>
      </c>
      <c r="B70" s="41" t="s">
        <v>116</v>
      </c>
      <c r="C70" s="41" t="s">
        <v>138</v>
      </c>
      <c r="D70" s="41" t="s">
        <v>22</v>
      </c>
      <c r="E70" s="42" t="s">
        <v>22</v>
      </c>
      <c r="F70" s="42" t="s">
        <v>23</v>
      </c>
      <c r="G70" s="42" t="s">
        <v>22</v>
      </c>
      <c r="H70" s="42" t="s">
        <v>23</v>
      </c>
      <c r="I70" s="42" t="s">
        <v>22</v>
      </c>
      <c r="J70" s="42" t="s">
        <v>23</v>
      </c>
      <c r="K70" s="42" t="s">
        <v>22</v>
      </c>
      <c r="L70" s="42" t="s">
        <v>23</v>
      </c>
      <c r="M70" s="42" t="s">
        <v>22</v>
      </c>
      <c r="N70" s="42" t="s">
        <v>23</v>
      </c>
      <c r="O70" s="42" t="s">
        <v>22</v>
      </c>
      <c r="P70" s="43" t="s">
        <v>23</v>
      </c>
      <c r="Q70" s="41"/>
      <c r="R70" s="41"/>
      <c r="S70" s="44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</row>
    <row r="71" spans="1:38" ht="15.75" customHeight="1" x14ac:dyDescent="0.2">
      <c r="A71" s="41" t="s">
        <v>139</v>
      </c>
      <c r="B71" s="41" t="s">
        <v>116</v>
      </c>
      <c r="C71" s="41" t="s">
        <v>139</v>
      </c>
      <c r="D71" s="41" t="s">
        <v>19</v>
      </c>
      <c r="E71" s="42" t="s">
        <v>19</v>
      </c>
      <c r="F71" s="42" t="s">
        <v>23</v>
      </c>
      <c r="G71" s="42" t="s">
        <v>19</v>
      </c>
      <c r="H71" s="42" t="s">
        <v>23</v>
      </c>
      <c r="I71" s="42" t="s">
        <v>19</v>
      </c>
      <c r="J71" s="42" t="s">
        <v>23</v>
      </c>
      <c r="K71" s="42" t="s">
        <v>19</v>
      </c>
      <c r="L71" s="42" t="s">
        <v>23</v>
      </c>
      <c r="M71" s="42" t="s">
        <v>19</v>
      </c>
      <c r="N71" s="42" t="s">
        <v>23</v>
      </c>
      <c r="O71" s="42" t="s">
        <v>19</v>
      </c>
      <c r="P71" s="43" t="s">
        <v>23</v>
      </c>
      <c r="Q71" s="41"/>
      <c r="R71" s="41"/>
      <c r="S71" s="44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</row>
    <row r="72" spans="1:38" ht="15.75" customHeight="1" x14ac:dyDescent="0.2">
      <c r="A72" s="41" t="s">
        <v>140</v>
      </c>
      <c r="B72" s="41" t="s">
        <v>116</v>
      </c>
      <c r="C72" s="41" t="s">
        <v>140</v>
      </c>
      <c r="D72" s="41" t="s">
        <v>22</v>
      </c>
      <c r="E72" s="42" t="s">
        <v>22</v>
      </c>
      <c r="F72" s="42" t="s">
        <v>23</v>
      </c>
      <c r="G72" s="42" t="s">
        <v>22</v>
      </c>
      <c r="H72" s="42" t="s">
        <v>23</v>
      </c>
      <c r="I72" s="42" t="s">
        <v>22</v>
      </c>
      <c r="J72" s="42" t="s">
        <v>23</v>
      </c>
      <c r="K72" s="42" t="s">
        <v>22</v>
      </c>
      <c r="L72" s="42" t="s">
        <v>23</v>
      </c>
      <c r="M72" s="42" t="s">
        <v>22</v>
      </c>
      <c r="N72" s="42" t="s">
        <v>23</v>
      </c>
      <c r="O72" s="42" t="s">
        <v>22</v>
      </c>
      <c r="P72" s="43" t="s">
        <v>23</v>
      </c>
      <c r="Q72" s="41"/>
      <c r="R72" s="41"/>
      <c r="S72" s="44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</row>
    <row r="73" spans="1:38" ht="15.75" customHeight="1" x14ac:dyDescent="0.2">
      <c r="A73" s="41" t="s">
        <v>141</v>
      </c>
      <c r="B73" s="41" t="s">
        <v>116</v>
      </c>
      <c r="C73" s="41" t="s">
        <v>141</v>
      </c>
      <c r="D73" s="41" t="s">
        <v>19</v>
      </c>
      <c r="E73" s="42" t="s">
        <v>19</v>
      </c>
      <c r="F73" s="42" t="s">
        <v>23</v>
      </c>
      <c r="G73" s="42" t="s">
        <v>19</v>
      </c>
      <c r="H73" s="42" t="s">
        <v>23</v>
      </c>
      <c r="I73" s="42" t="s">
        <v>19</v>
      </c>
      <c r="J73" s="42" t="s">
        <v>23</v>
      </c>
      <c r="K73" s="42" t="s">
        <v>19</v>
      </c>
      <c r="L73" s="42" t="s">
        <v>23</v>
      </c>
      <c r="M73" s="42" t="s">
        <v>19</v>
      </c>
      <c r="N73" s="42" t="s">
        <v>23</v>
      </c>
      <c r="O73" s="42" t="s">
        <v>19</v>
      </c>
      <c r="P73" s="43" t="s">
        <v>23</v>
      </c>
      <c r="Q73" s="41"/>
      <c r="R73" s="41"/>
      <c r="S73" s="44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</row>
    <row r="74" spans="1:38" ht="15.75" customHeight="1" x14ac:dyDescent="0.2">
      <c r="A74" s="41" t="s">
        <v>142</v>
      </c>
      <c r="B74" s="41" t="s">
        <v>18</v>
      </c>
      <c r="C74" s="41" t="s">
        <v>142</v>
      </c>
      <c r="D74" s="41" t="s">
        <v>22</v>
      </c>
      <c r="E74" s="42" t="s">
        <v>22</v>
      </c>
      <c r="F74" s="42" t="s">
        <v>23</v>
      </c>
      <c r="G74" s="42" t="s">
        <v>22</v>
      </c>
      <c r="H74" s="42" t="s">
        <v>23</v>
      </c>
      <c r="I74" s="42" t="s">
        <v>22</v>
      </c>
      <c r="J74" s="42" t="s">
        <v>23</v>
      </c>
      <c r="K74" s="42" t="s">
        <v>22</v>
      </c>
      <c r="L74" s="42" t="s">
        <v>23</v>
      </c>
      <c r="M74" s="42" t="s">
        <v>22</v>
      </c>
      <c r="N74" s="42" t="s">
        <v>23</v>
      </c>
      <c r="O74" s="42" t="s">
        <v>22</v>
      </c>
      <c r="P74" s="43" t="s">
        <v>23</v>
      </c>
      <c r="Q74" s="41"/>
      <c r="R74" s="41"/>
      <c r="S74" s="44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</row>
    <row r="75" spans="1:38" ht="15.75" customHeight="1" x14ac:dyDescent="0.2">
      <c r="A75" s="41" t="s">
        <v>143</v>
      </c>
      <c r="B75" s="41" t="s">
        <v>144</v>
      </c>
      <c r="C75" s="41" t="s">
        <v>143</v>
      </c>
      <c r="D75" s="41" t="s">
        <v>22</v>
      </c>
      <c r="E75" s="42" t="s">
        <v>22</v>
      </c>
      <c r="F75" s="42" t="s">
        <v>23</v>
      </c>
      <c r="G75" s="42" t="s">
        <v>22</v>
      </c>
      <c r="H75" s="42" t="s">
        <v>23</v>
      </c>
      <c r="I75" s="42" t="s">
        <v>22</v>
      </c>
      <c r="J75" s="42" t="s">
        <v>23</v>
      </c>
      <c r="K75" s="42" t="s">
        <v>22</v>
      </c>
      <c r="L75" s="42" t="s">
        <v>23</v>
      </c>
      <c r="M75" s="42" t="s">
        <v>22</v>
      </c>
      <c r="N75" s="42" t="s">
        <v>23</v>
      </c>
      <c r="O75" s="42" t="s">
        <v>22</v>
      </c>
      <c r="P75" s="43" t="s">
        <v>23</v>
      </c>
      <c r="Q75" s="41"/>
      <c r="R75" s="41"/>
      <c r="S75" s="44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</row>
    <row r="76" spans="1:38" ht="15.75" customHeight="1" x14ac:dyDescent="0.2">
      <c r="A76" s="41" t="s">
        <v>145</v>
      </c>
      <c r="B76" s="41" t="s">
        <v>116</v>
      </c>
      <c r="C76" s="41" t="s">
        <v>145</v>
      </c>
      <c r="D76" s="41" t="s">
        <v>22</v>
      </c>
      <c r="E76" s="42" t="s">
        <v>22</v>
      </c>
      <c r="F76" s="42" t="s">
        <v>23</v>
      </c>
      <c r="G76" s="42" t="s">
        <v>22</v>
      </c>
      <c r="H76" s="42" t="s">
        <v>23</v>
      </c>
      <c r="I76" s="42" t="s">
        <v>22</v>
      </c>
      <c r="J76" s="42" t="s">
        <v>23</v>
      </c>
      <c r="K76" s="42" t="s">
        <v>22</v>
      </c>
      <c r="L76" s="42" t="s">
        <v>23</v>
      </c>
      <c r="M76" s="42" t="s">
        <v>22</v>
      </c>
      <c r="N76" s="42" t="s">
        <v>23</v>
      </c>
      <c r="O76" s="42" t="s">
        <v>22</v>
      </c>
      <c r="P76" s="43" t="s">
        <v>23</v>
      </c>
      <c r="Q76" s="41"/>
      <c r="R76" s="41"/>
      <c r="S76" s="44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</row>
    <row r="77" spans="1:38" ht="15.75" customHeight="1" x14ac:dyDescent="0.2">
      <c r="A77" s="41" t="s">
        <v>146</v>
      </c>
      <c r="B77" s="41" t="s">
        <v>18</v>
      </c>
      <c r="C77" s="41" t="s">
        <v>146</v>
      </c>
      <c r="D77" s="41" t="s">
        <v>22</v>
      </c>
      <c r="E77" s="42" t="s">
        <v>22</v>
      </c>
      <c r="F77" s="42" t="s">
        <v>23</v>
      </c>
      <c r="G77" s="42" t="s">
        <v>22</v>
      </c>
      <c r="H77" s="42" t="s">
        <v>23</v>
      </c>
      <c r="I77" s="42" t="s">
        <v>22</v>
      </c>
      <c r="J77" s="42" t="s">
        <v>23</v>
      </c>
      <c r="K77" s="42" t="s">
        <v>22</v>
      </c>
      <c r="L77" s="42" t="s">
        <v>23</v>
      </c>
      <c r="M77" s="42" t="s">
        <v>22</v>
      </c>
      <c r="N77" s="42" t="s">
        <v>23</v>
      </c>
      <c r="O77" s="42" t="s">
        <v>22</v>
      </c>
      <c r="P77" s="43" t="s">
        <v>23</v>
      </c>
      <c r="Q77" s="41"/>
      <c r="R77" s="41"/>
      <c r="S77" s="44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</row>
    <row r="78" spans="1:38" ht="15.75" customHeight="1" x14ac:dyDescent="0.2">
      <c r="A78" s="41" t="s">
        <v>147</v>
      </c>
      <c r="B78" s="41" t="s">
        <v>18</v>
      </c>
      <c r="C78" s="41" t="s">
        <v>147</v>
      </c>
      <c r="D78" s="41" t="s">
        <v>22</v>
      </c>
      <c r="E78" s="42" t="s">
        <v>22</v>
      </c>
      <c r="F78" s="42" t="s">
        <v>23</v>
      </c>
      <c r="G78" s="42" t="s">
        <v>22</v>
      </c>
      <c r="H78" s="42" t="s">
        <v>23</v>
      </c>
      <c r="I78" s="42" t="s">
        <v>22</v>
      </c>
      <c r="J78" s="42" t="s">
        <v>23</v>
      </c>
      <c r="K78" s="42" t="s">
        <v>22</v>
      </c>
      <c r="L78" s="42" t="s">
        <v>23</v>
      </c>
      <c r="M78" s="42" t="s">
        <v>22</v>
      </c>
      <c r="N78" s="42" t="s">
        <v>23</v>
      </c>
      <c r="O78" s="42" t="s">
        <v>22</v>
      </c>
      <c r="P78" s="43" t="s">
        <v>23</v>
      </c>
      <c r="Q78" s="41"/>
      <c r="R78" s="41"/>
      <c r="S78" s="44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</row>
    <row r="79" spans="1:38" ht="15.75" customHeight="1" x14ac:dyDescent="0.2">
      <c r="A79" s="41" t="s">
        <v>148</v>
      </c>
      <c r="B79" s="41" t="s">
        <v>18</v>
      </c>
      <c r="C79" s="41" t="s">
        <v>148</v>
      </c>
      <c r="D79" s="41" t="s">
        <v>19</v>
      </c>
      <c r="E79" s="42" t="s">
        <v>22</v>
      </c>
      <c r="F79" s="42" t="s">
        <v>25</v>
      </c>
      <c r="G79" s="42" t="s">
        <v>22</v>
      </c>
      <c r="H79" s="42" t="s">
        <v>25</v>
      </c>
      <c r="I79" s="42" t="s">
        <v>22</v>
      </c>
      <c r="J79" s="42" t="s">
        <v>25</v>
      </c>
      <c r="K79" s="42" t="s">
        <v>22</v>
      </c>
      <c r="L79" s="42" t="s">
        <v>25</v>
      </c>
      <c r="M79" s="42" t="s">
        <v>22</v>
      </c>
      <c r="N79" s="42" t="s">
        <v>345</v>
      </c>
      <c r="O79" s="42" t="s">
        <v>22</v>
      </c>
      <c r="P79" s="24" t="s">
        <v>345</v>
      </c>
      <c r="Q79" s="41" t="s">
        <v>149</v>
      </c>
      <c r="R79" s="41"/>
      <c r="S79" s="44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</row>
    <row r="80" spans="1:38" ht="15.75" customHeight="1" x14ac:dyDescent="0.2">
      <c r="A80" s="41" t="s">
        <v>150</v>
      </c>
      <c r="B80" s="41" t="s">
        <v>18</v>
      </c>
      <c r="C80" s="41" t="s">
        <v>150</v>
      </c>
      <c r="D80" s="41" t="s">
        <v>22</v>
      </c>
      <c r="E80" s="42" t="s">
        <v>22</v>
      </c>
      <c r="F80" s="42" t="s">
        <v>23</v>
      </c>
      <c r="G80" s="42" t="s">
        <v>22</v>
      </c>
      <c r="H80" s="42" t="s">
        <v>23</v>
      </c>
      <c r="I80" s="42" t="s">
        <v>22</v>
      </c>
      <c r="J80" s="42" t="s">
        <v>23</v>
      </c>
      <c r="K80" s="42" t="s">
        <v>22</v>
      </c>
      <c r="L80" s="42" t="s">
        <v>23</v>
      </c>
      <c r="M80" s="42" t="s">
        <v>22</v>
      </c>
      <c r="N80" s="42" t="s">
        <v>23</v>
      </c>
      <c r="O80" s="42" t="s">
        <v>22</v>
      </c>
      <c r="P80" s="43" t="s">
        <v>23</v>
      </c>
      <c r="Q80" s="41"/>
      <c r="R80" s="41"/>
      <c r="S80" s="44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</row>
    <row r="81" spans="1:38" ht="15.75" customHeight="1" x14ac:dyDescent="0.2">
      <c r="A81" s="41" t="s">
        <v>151</v>
      </c>
      <c r="B81" s="41" t="s">
        <v>144</v>
      </c>
      <c r="C81" s="41"/>
      <c r="D81" s="41" t="s">
        <v>22</v>
      </c>
      <c r="E81" s="42" t="s">
        <v>22</v>
      </c>
      <c r="F81" s="42" t="s">
        <v>23</v>
      </c>
      <c r="G81" s="42" t="s">
        <v>22</v>
      </c>
      <c r="H81" s="42" t="s">
        <v>23</v>
      </c>
      <c r="I81" s="42" t="s">
        <v>22</v>
      </c>
      <c r="J81" s="42" t="s">
        <v>23</v>
      </c>
      <c r="K81" s="42" t="s">
        <v>22</v>
      </c>
      <c r="L81" s="42" t="s">
        <v>23</v>
      </c>
      <c r="M81" s="42" t="s">
        <v>22</v>
      </c>
      <c r="N81" s="42" t="s">
        <v>23</v>
      </c>
      <c r="O81" s="42" t="s">
        <v>22</v>
      </c>
      <c r="P81" s="43" t="s">
        <v>23</v>
      </c>
      <c r="Q81" s="41" t="s">
        <v>152</v>
      </c>
      <c r="R81" s="41"/>
      <c r="S81" s="44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</row>
    <row r="82" spans="1:38" ht="15.75" customHeight="1" x14ac:dyDescent="0.2">
      <c r="A82" s="41" t="s">
        <v>153</v>
      </c>
      <c r="B82" s="41" t="s">
        <v>116</v>
      </c>
      <c r="C82" s="41" t="s">
        <v>153</v>
      </c>
      <c r="D82" s="41" t="s">
        <v>22</v>
      </c>
      <c r="E82" s="42" t="s">
        <v>22</v>
      </c>
      <c r="F82" s="42" t="s">
        <v>23</v>
      </c>
      <c r="G82" s="42" t="s">
        <v>22</v>
      </c>
      <c r="H82" s="42" t="s">
        <v>23</v>
      </c>
      <c r="I82" s="42" t="s">
        <v>22</v>
      </c>
      <c r="J82" s="42" t="s">
        <v>23</v>
      </c>
      <c r="K82" s="42" t="s">
        <v>22</v>
      </c>
      <c r="L82" s="42" t="s">
        <v>23</v>
      </c>
      <c r="M82" s="42" t="s">
        <v>22</v>
      </c>
      <c r="N82" s="42" t="s">
        <v>23</v>
      </c>
      <c r="O82" s="42" t="s">
        <v>22</v>
      </c>
      <c r="P82" s="43" t="s">
        <v>23</v>
      </c>
      <c r="Q82" s="41"/>
      <c r="R82" s="41"/>
      <c r="S82" s="44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</row>
    <row r="83" spans="1:38" ht="15.75" customHeight="1" x14ac:dyDescent="0.2">
      <c r="A83" s="41" t="s">
        <v>154</v>
      </c>
      <c r="B83" s="41" t="s">
        <v>144</v>
      </c>
      <c r="C83" s="41" t="s">
        <v>154</v>
      </c>
      <c r="D83" s="41" t="s">
        <v>22</v>
      </c>
      <c r="E83" s="42" t="s">
        <v>22</v>
      </c>
      <c r="F83" s="42" t="s">
        <v>23</v>
      </c>
      <c r="G83" s="42" t="s">
        <v>22</v>
      </c>
      <c r="H83" s="42" t="s">
        <v>23</v>
      </c>
      <c r="I83" s="42" t="s">
        <v>22</v>
      </c>
      <c r="J83" s="42" t="s">
        <v>23</v>
      </c>
      <c r="K83" s="42" t="s">
        <v>22</v>
      </c>
      <c r="L83" s="42" t="s">
        <v>23</v>
      </c>
      <c r="M83" s="42" t="s">
        <v>22</v>
      </c>
      <c r="N83" s="42" t="s">
        <v>23</v>
      </c>
      <c r="O83" s="42" t="s">
        <v>22</v>
      </c>
      <c r="P83" s="43" t="s">
        <v>23</v>
      </c>
      <c r="Q83" s="41" t="s">
        <v>155</v>
      </c>
      <c r="R83" s="41"/>
      <c r="S83" s="44" t="s">
        <v>156</v>
      </c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</row>
    <row r="84" spans="1:38" ht="15.75" customHeight="1" x14ac:dyDescent="0.2">
      <c r="A84" s="41" t="s">
        <v>157</v>
      </c>
      <c r="B84" s="41" t="s">
        <v>144</v>
      </c>
      <c r="C84" s="41"/>
      <c r="D84" s="41" t="s">
        <v>22</v>
      </c>
      <c r="E84" s="42" t="s">
        <v>22</v>
      </c>
      <c r="F84" s="42" t="s">
        <v>23</v>
      </c>
      <c r="G84" s="42" t="s">
        <v>22</v>
      </c>
      <c r="H84" s="42" t="s">
        <v>23</v>
      </c>
      <c r="I84" s="42" t="s">
        <v>22</v>
      </c>
      <c r="J84" s="42" t="s">
        <v>23</v>
      </c>
      <c r="K84" s="42" t="s">
        <v>22</v>
      </c>
      <c r="L84" s="42" t="s">
        <v>23</v>
      </c>
      <c r="M84" s="42" t="s">
        <v>22</v>
      </c>
      <c r="N84" s="42" t="s">
        <v>23</v>
      </c>
      <c r="O84" s="42" t="s">
        <v>22</v>
      </c>
      <c r="P84" s="43" t="s">
        <v>23</v>
      </c>
      <c r="Q84" s="41"/>
      <c r="R84" s="41"/>
      <c r="S84" s="44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</row>
    <row r="85" spans="1:38" ht="15.75" customHeight="1" x14ac:dyDescent="0.2">
      <c r="A85" s="41" t="s">
        <v>158</v>
      </c>
      <c r="B85" s="41" t="s">
        <v>144</v>
      </c>
      <c r="C85" s="41"/>
      <c r="D85" s="41" t="s">
        <v>22</v>
      </c>
      <c r="E85" s="42" t="s">
        <v>22</v>
      </c>
      <c r="F85" s="42" t="s">
        <v>23</v>
      </c>
      <c r="G85" s="42" t="s">
        <v>22</v>
      </c>
      <c r="H85" s="42" t="s">
        <v>23</v>
      </c>
      <c r="I85" s="42" t="s">
        <v>22</v>
      </c>
      <c r="J85" s="42" t="s">
        <v>23</v>
      </c>
      <c r="K85" s="42" t="s">
        <v>22</v>
      </c>
      <c r="L85" s="42" t="s">
        <v>23</v>
      </c>
      <c r="M85" s="42" t="s">
        <v>22</v>
      </c>
      <c r="N85" s="42" t="s">
        <v>23</v>
      </c>
      <c r="O85" s="42" t="s">
        <v>22</v>
      </c>
      <c r="P85" s="43" t="s">
        <v>23</v>
      </c>
      <c r="Q85" s="41"/>
      <c r="R85" s="41"/>
      <c r="S85" s="44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</row>
    <row r="86" spans="1:38" ht="15.75" customHeight="1" x14ac:dyDescent="0.2">
      <c r="A86" s="41" t="s">
        <v>159</v>
      </c>
      <c r="B86" s="41" t="s">
        <v>18</v>
      </c>
      <c r="C86" s="41" t="s">
        <v>159</v>
      </c>
      <c r="D86" s="41" t="s">
        <v>22</v>
      </c>
      <c r="E86" s="42" t="s">
        <v>22</v>
      </c>
      <c r="F86" s="42" t="s">
        <v>23</v>
      </c>
      <c r="G86" s="42" t="s">
        <v>22</v>
      </c>
      <c r="H86" s="42" t="s">
        <v>23</v>
      </c>
      <c r="I86" s="42" t="s">
        <v>22</v>
      </c>
      <c r="J86" s="42" t="s">
        <v>23</v>
      </c>
      <c r="K86" s="42" t="s">
        <v>22</v>
      </c>
      <c r="L86" s="42" t="s">
        <v>23</v>
      </c>
      <c r="M86" s="42" t="s">
        <v>22</v>
      </c>
      <c r="N86" s="42" t="s">
        <v>23</v>
      </c>
      <c r="O86" s="42" t="s">
        <v>22</v>
      </c>
      <c r="P86" s="43" t="s">
        <v>23</v>
      </c>
      <c r="Q86" s="41"/>
      <c r="R86" s="41"/>
      <c r="S86" s="44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</row>
    <row r="87" spans="1:38" ht="15.75" customHeight="1" x14ac:dyDescent="0.2">
      <c r="A87" s="41" t="s">
        <v>160</v>
      </c>
      <c r="B87" s="41" t="s">
        <v>161</v>
      </c>
      <c r="C87" s="41" t="s">
        <v>160</v>
      </c>
      <c r="D87" s="41" t="s">
        <v>22</v>
      </c>
      <c r="E87" s="42" t="s">
        <v>22</v>
      </c>
      <c r="F87" s="42" t="s">
        <v>23</v>
      </c>
      <c r="G87" s="42" t="s">
        <v>22</v>
      </c>
      <c r="H87" s="42" t="s">
        <v>23</v>
      </c>
      <c r="I87" s="42" t="s">
        <v>22</v>
      </c>
      <c r="J87" s="42" t="s">
        <v>23</v>
      </c>
      <c r="K87" s="42" t="s">
        <v>22</v>
      </c>
      <c r="L87" s="42" t="s">
        <v>23</v>
      </c>
      <c r="M87" s="42" t="s">
        <v>22</v>
      </c>
      <c r="N87" s="42" t="s">
        <v>23</v>
      </c>
      <c r="O87" s="42" t="s">
        <v>22</v>
      </c>
      <c r="P87" s="43" t="s">
        <v>23</v>
      </c>
      <c r="Q87" s="41"/>
      <c r="R87" s="41"/>
      <c r="S87" s="44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</row>
    <row r="88" spans="1:38" ht="15.75" customHeight="1" x14ac:dyDescent="0.2">
      <c r="A88" s="41" t="s">
        <v>162</v>
      </c>
      <c r="B88" s="41" t="s">
        <v>163</v>
      </c>
      <c r="C88" s="41" t="s">
        <v>162</v>
      </c>
      <c r="D88" s="41" t="s">
        <v>22</v>
      </c>
      <c r="E88" s="42" t="s">
        <v>22</v>
      </c>
      <c r="F88" s="42" t="s">
        <v>23</v>
      </c>
      <c r="G88" s="42" t="s">
        <v>22</v>
      </c>
      <c r="H88" s="42" t="s">
        <v>23</v>
      </c>
      <c r="I88" s="42" t="s">
        <v>22</v>
      </c>
      <c r="J88" s="42" t="s">
        <v>23</v>
      </c>
      <c r="K88" s="42" t="s">
        <v>22</v>
      </c>
      <c r="L88" s="42" t="s">
        <v>23</v>
      </c>
      <c r="M88" s="42" t="s">
        <v>22</v>
      </c>
      <c r="N88" s="42" t="s">
        <v>23</v>
      </c>
      <c r="O88" s="42" t="s">
        <v>22</v>
      </c>
      <c r="P88" s="43" t="s">
        <v>23</v>
      </c>
      <c r="Q88" s="41"/>
      <c r="R88" s="41"/>
      <c r="S88" s="44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</row>
    <row r="89" spans="1:38" ht="15.75" customHeight="1" x14ac:dyDescent="0.2">
      <c r="A89" s="41" t="s">
        <v>164</v>
      </c>
      <c r="B89" s="41" t="s">
        <v>18</v>
      </c>
      <c r="C89" s="41" t="s">
        <v>164</v>
      </c>
      <c r="D89" s="41" t="s">
        <v>22</v>
      </c>
      <c r="E89" s="42" t="s">
        <v>22</v>
      </c>
      <c r="F89" s="42" t="s">
        <v>23</v>
      </c>
      <c r="G89" s="42" t="s">
        <v>22</v>
      </c>
      <c r="H89" s="42" t="s">
        <v>23</v>
      </c>
      <c r="I89" s="42" t="s">
        <v>22</v>
      </c>
      <c r="J89" s="42" t="s">
        <v>23</v>
      </c>
      <c r="K89" s="42" t="s">
        <v>22</v>
      </c>
      <c r="L89" s="42" t="s">
        <v>23</v>
      </c>
      <c r="M89" s="42" t="s">
        <v>22</v>
      </c>
      <c r="N89" s="42" t="s">
        <v>23</v>
      </c>
      <c r="O89" s="42" t="s">
        <v>22</v>
      </c>
      <c r="P89" s="43" t="s">
        <v>23</v>
      </c>
      <c r="Q89" s="41"/>
      <c r="R89" s="41"/>
      <c r="S89" s="44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</row>
    <row r="90" spans="1:38" ht="15.75" customHeight="1" x14ac:dyDescent="0.2">
      <c r="A90" s="41" t="s">
        <v>165</v>
      </c>
      <c r="B90" s="41" t="s">
        <v>39</v>
      </c>
      <c r="C90" s="41" t="s">
        <v>165</v>
      </c>
      <c r="D90" s="41" t="s">
        <v>22</v>
      </c>
      <c r="E90" s="42" t="s">
        <v>22</v>
      </c>
      <c r="F90" s="42" t="s">
        <v>23</v>
      </c>
      <c r="G90" s="42" t="s">
        <v>22</v>
      </c>
      <c r="H90" s="42" t="s">
        <v>23</v>
      </c>
      <c r="I90" s="42" t="s">
        <v>22</v>
      </c>
      <c r="J90" s="42" t="s">
        <v>23</v>
      </c>
      <c r="K90" s="42" t="s">
        <v>22</v>
      </c>
      <c r="L90" s="42" t="s">
        <v>23</v>
      </c>
      <c r="M90" s="42" t="s">
        <v>22</v>
      </c>
      <c r="N90" s="42" t="s">
        <v>23</v>
      </c>
      <c r="O90" s="42" t="s">
        <v>22</v>
      </c>
      <c r="P90" s="43" t="s">
        <v>23</v>
      </c>
      <c r="Q90" s="41"/>
      <c r="R90" s="41"/>
      <c r="S90" s="44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</row>
    <row r="91" spans="1:38" ht="15.75" customHeight="1" x14ac:dyDescent="0.2">
      <c r="A91" s="41" t="s">
        <v>166</v>
      </c>
      <c r="B91" s="41" t="s">
        <v>18</v>
      </c>
      <c r="C91" s="41" t="s">
        <v>166</v>
      </c>
      <c r="D91" s="41" t="s">
        <v>22</v>
      </c>
      <c r="E91" s="42" t="s">
        <v>22</v>
      </c>
      <c r="F91" s="42" t="s">
        <v>23</v>
      </c>
      <c r="G91" s="42" t="s">
        <v>22</v>
      </c>
      <c r="H91" s="42" t="s">
        <v>23</v>
      </c>
      <c r="I91" s="42" t="s">
        <v>22</v>
      </c>
      <c r="J91" s="42" t="s">
        <v>23</v>
      </c>
      <c r="K91" s="42" t="s">
        <v>22</v>
      </c>
      <c r="L91" s="42" t="s">
        <v>23</v>
      </c>
      <c r="M91" s="42" t="s">
        <v>22</v>
      </c>
      <c r="N91" s="42" t="s">
        <v>23</v>
      </c>
      <c r="O91" s="42" t="s">
        <v>22</v>
      </c>
      <c r="P91" s="43" t="s">
        <v>23</v>
      </c>
      <c r="Q91" s="41"/>
      <c r="R91" s="41"/>
      <c r="S91" s="44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</row>
    <row r="92" spans="1:38" ht="15.75" customHeight="1" x14ac:dyDescent="0.2">
      <c r="A92" s="41" t="s">
        <v>167</v>
      </c>
      <c r="B92" s="41" t="s">
        <v>18</v>
      </c>
      <c r="C92" s="41" t="s">
        <v>167</v>
      </c>
      <c r="D92" s="41" t="s">
        <v>19</v>
      </c>
      <c r="E92" s="42" t="s">
        <v>22</v>
      </c>
      <c r="F92" s="42" t="s">
        <v>25</v>
      </c>
      <c r="G92" s="42" t="s">
        <v>22</v>
      </c>
      <c r="H92" s="42" t="s">
        <v>25</v>
      </c>
      <c r="I92" s="42" t="s">
        <v>22</v>
      </c>
      <c r="J92" s="42" t="s">
        <v>25</v>
      </c>
      <c r="K92" s="42" t="s">
        <v>22</v>
      </c>
      <c r="L92" s="42" t="s">
        <v>25</v>
      </c>
      <c r="M92" s="42" t="s">
        <v>22</v>
      </c>
      <c r="N92" s="42" t="s">
        <v>345</v>
      </c>
      <c r="O92" s="42" t="s">
        <v>22</v>
      </c>
      <c r="P92" s="24" t="s">
        <v>345</v>
      </c>
      <c r="Q92" s="41" t="s">
        <v>149</v>
      </c>
      <c r="R92" s="41"/>
      <c r="S92" s="44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</row>
    <row r="93" spans="1:38" ht="15.75" customHeight="1" x14ac:dyDescent="0.2">
      <c r="A93" s="41" t="s">
        <v>168</v>
      </c>
      <c r="B93" s="41" t="s">
        <v>116</v>
      </c>
      <c r="C93" s="41" t="s">
        <v>168</v>
      </c>
      <c r="D93" s="41" t="s">
        <v>22</v>
      </c>
      <c r="E93" s="42" t="s">
        <v>22</v>
      </c>
      <c r="F93" s="42" t="s">
        <v>23</v>
      </c>
      <c r="G93" s="42" t="s">
        <v>22</v>
      </c>
      <c r="H93" s="42" t="s">
        <v>23</v>
      </c>
      <c r="I93" s="42" t="s">
        <v>22</v>
      </c>
      <c r="J93" s="42" t="s">
        <v>23</v>
      </c>
      <c r="K93" s="42" t="s">
        <v>22</v>
      </c>
      <c r="L93" s="42" t="s">
        <v>23</v>
      </c>
      <c r="M93" s="42" t="s">
        <v>22</v>
      </c>
      <c r="N93" s="42" t="s">
        <v>23</v>
      </c>
      <c r="O93" s="42" t="s">
        <v>22</v>
      </c>
      <c r="P93" s="43" t="s">
        <v>23</v>
      </c>
      <c r="Q93" s="41"/>
      <c r="R93" s="41"/>
      <c r="S93" s="44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</row>
    <row r="94" spans="1:38" ht="15.75" customHeight="1" x14ac:dyDescent="0.2">
      <c r="A94" s="41" t="s">
        <v>169</v>
      </c>
      <c r="B94" s="41" t="s">
        <v>18</v>
      </c>
      <c r="C94" s="41" t="s">
        <v>169</v>
      </c>
      <c r="D94" s="41" t="s">
        <v>22</v>
      </c>
      <c r="E94" s="42" t="s">
        <v>22</v>
      </c>
      <c r="F94" s="42" t="s">
        <v>23</v>
      </c>
      <c r="G94" s="42" t="s">
        <v>22</v>
      </c>
      <c r="H94" s="42" t="s">
        <v>23</v>
      </c>
      <c r="I94" s="42" t="s">
        <v>22</v>
      </c>
      <c r="J94" s="42" t="s">
        <v>23</v>
      </c>
      <c r="K94" s="42" t="s">
        <v>22</v>
      </c>
      <c r="L94" s="42" t="s">
        <v>23</v>
      </c>
      <c r="M94" s="42" t="s">
        <v>22</v>
      </c>
      <c r="N94" s="42" t="s">
        <v>23</v>
      </c>
      <c r="O94" s="42" t="s">
        <v>22</v>
      </c>
      <c r="P94" s="43" t="s">
        <v>23</v>
      </c>
      <c r="Q94" s="41"/>
      <c r="R94" s="41"/>
      <c r="S94" s="44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</row>
    <row r="95" spans="1:38" ht="15.75" customHeight="1" x14ac:dyDescent="0.2">
      <c r="A95" s="41" t="s">
        <v>170</v>
      </c>
      <c r="B95" s="41" t="s">
        <v>18</v>
      </c>
      <c r="C95" s="41" t="s">
        <v>170</v>
      </c>
      <c r="D95" s="41" t="s">
        <v>19</v>
      </c>
      <c r="E95" s="42" t="s">
        <v>22</v>
      </c>
      <c r="F95" s="42" t="s">
        <v>25</v>
      </c>
      <c r="G95" s="42" t="s">
        <v>22</v>
      </c>
      <c r="H95" s="42" t="s">
        <v>25</v>
      </c>
      <c r="I95" s="42" t="s">
        <v>22</v>
      </c>
      <c r="J95" s="42" t="s">
        <v>25</v>
      </c>
      <c r="K95" s="42" t="s">
        <v>22</v>
      </c>
      <c r="L95" s="42" t="s">
        <v>25</v>
      </c>
      <c r="M95" s="42" t="s">
        <v>22</v>
      </c>
      <c r="N95" s="42" t="s">
        <v>345</v>
      </c>
      <c r="O95" s="42" t="s">
        <v>22</v>
      </c>
      <c r="P95" s="24" t="s">
        <v>345</v>
      </c>
      <c r="Q95" s="41" t="s">
        <v>149</v>
      </c>
      <c r="R95" s="41"/>
      <c r="S95" s="44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</row>
    <row r="96" spans="1:38" ht="15.75" customHeight="1" x14ac:dyDescent="0.2">
      <c r="A96" s="41" t="s">
        <v>171</v>
      </c>
      <c r="B96" s="41" t="s">
        <v>39</v>
      </c>
      <c r="C96" s="41" t="s">
        <v>171</v>
      </c>
      <c r="D96" s="41" t="s">
        <v>22</v>
      </c>
      <c r="E96" s="42" t="s">
        <v>22</v>
      </c>
      <c r="F96" s="42" t="s">
        <v>23</v>
      </c>
      <c r="G96" s="42" t="s">
        <v>22</v>
      </c>
      <c r="H96" s="42" t="s">
        <v>23</v>
      </c>
      <c r="I96" s="42" t="s">
        <v>22</v>
      </c>
      <c r="J96" s="42" t="s">
        <v>23</v>
      </c>
      <c r="K96" s="42" t="s">
        <v>22</v>
      </c>
      <c r="L96" s="42" t="s">
        <v>23</v>
      </c>
      <c r="M96" s="42" t="s">
        <v>22</v>
      </c>
      <c r="N96" s="42" t="s">
        <v>23</v>
      </c>
      <c r="O96" s="42" t="s">
        <v>22</v>
      </c>
      <c r="P96" s="43" t="s">
        <v>23</v>
      </c>
      <c r="Q96" s="41"/>
      <c r="R96" s="41"/>
      <c r="S96" s="44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</row>
    <row r="97" spans="1:38" ht="15.75" customHeight="1" x14ac:dyDescent="0.2">
      <c r="A97" s="41" t="s">
        <v>172</v>
      </c>
      <c r="B97" s="41" t="s">
        <v>18</v>
      </c>
      <c r="C97" s="41" t="s">
        <v>172</v>
      </c>
      <c r="D97" s="41" t="s">
        <v>22</v>
      </c>
      <c r="E97" s="42" t="s">
        <v>22</v>
      </c>
      <c r="F97" s="42" t="s">
        <v>23</v>
      </c>
      <c r="G97" s="42" t="s">
        <v>22</v>
      </c>
      <c r="H97" s="42" t="s">
        <v>23</v>
      </c>
      <c r="I97" s="42" t="s">
        <v>22</v>
      </c>
      <c r="J97" s="42" t="s">
        <v>23</v>
      </c>
      <c r="K97" s="42" t="s">
        <v>22</v>
      </c>
      <c r="L97" s="42" t="s">
        <v>23</v>
      </c>
      <c r="M97" s="42" t="s">
        <v>22</v>
      </c>
      <c r="N97" s="42" t="s">
        <v>23</v>
      </c>
      <c r="O97" s="42" t="s">
        <v>22</v>
      </c>
      <c r="P97" s="43" t="s">
        <v>23</v>
      </c>
      <c r="Q97" s="41"/>
      <c r="R97" s="41"/>
      <c r="S97" s="44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</row>
    <row r="98" spans="1:38" ht="15.75" customHeight="1" x14ac:dyDescent="0.2">
      <c r="A98" s="41" t="s">
        <v>173</v>
      </c>
      <c r="B98" s="41" t="s">
        <v>163</v>
      </c>
      <c r="C98" s="41" t="s">
        <v>173</v>
      </c>
      <c r="D98" s="41" t="s">
        <v>22</v>
      </c>
      <c r="E98" s="42" t="s">
        <v>22</v>
      </c>
      <c r="F98" s="42" t="s">
        <v>23</v>
      </c>
      <c r="G98" s="42" t="s">
        <v>22</v>
      </c>
      <c r="H98" s="42" t="s">
        <v>23</v>
      </c>
      <c r="I98" s="42" t="s">
        <v>22</v>
      </c>
      <c r="J98" s="42" t="s">
        <v>23</v>
      </c>
      <c r="K98" s="42" t="s">
        <v>22</v>
      </c>
      <c r="L98" s="42" t="s">
        <v>23</v>
      </c>
      <c r="M98" s="42" t="s">
        <v>22</v>
      </c>
      <c r="N98" s="42" t="s">
        <v>23</v>
      </c>
      <c r="O98" s="42" t="s">
        <v>22</v>
      </c>
      <c r="P98" s="43" t="s">
        <v>23</v>
      </c>
      <c r="Q98" s="41"/>
      <c r="R98" s="41"/>
      <c r="S98" s="44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</row>
    <row r="99" spans="1:38" ht="15.75" customHeight="1" x14ac:dyDescent="0.2">
      <c r="A99" s="41" t="s">
        <v>174</v>
      </c>
      <c r="B99" s="41" t="s">
        <v>163</v>
      </c>
      <c r="C99" s="41" t="s">
        <v>174</v>
      </c>
      <c r="D99" s="41" t="s">
        <v>22</v>
      </c>
      <c r="E99" s="42" t="s">
        <v>22</v>
      </c>
      <c r="F99" s="42" t="s">
        <v>23</v>
      </c>
      <c r="G99" s="42" t="s">
        <v>22</v>
      </c>
      <c r="H99" s="42" t="s">
        <v>23</v>
      </c>
      <c r="I99" s="42" t="s">
        <v>22</v>
      </c>
      <c r="J99" s="42" t="s">
        <v>23</v>
      </c>
      <c r="K99" s="42" t="s">
        <v>22</v>
      </c>
      <c r="L99" s="42" t="s">
        <v>23</v>
      </c>
      <c r="M99" s="42" t="s">
        <v>22</v>
      </c>
      <c r="N99" s="42" t="s">
        <v>23</v>
      </c>
      <c r="O99" s="42" t="s">
        <v>22</v>
      </c>
      <c r="P99" s="43" t="s">
        <v>23</v>
      </c>
      <c r="Q99" s="41"/>
      <c r="R99" s="41"/>
      <c r="S99" s="44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</row>
    <row r="100" spans="1:38" ht="15.75" customHeight="1" x14ac:dyDescent="0.2">
      <c r="A100" s="41" t="s">
        <v>175</v>
      </c>
      <c r="B100" s="41" t="s">
        <v>163</v>
      </c>
      <c r="C100" s="41" t="s">
        <v>175</v>
      </c>
      <c r="D100" s="41" t="s">
        <v>22</v>
      </c>
      <c r="E100" s="42" t="s">
        <v>22</v>
      </c>
      <c r="F100" s="42" t="s">
        <v>23</v>
      </c>
      <c r="G100" s="42" t="s">
        <v>22</v>
      </c>
      <c r="H100" s="42" t="s">
        <v>23</v>
      </c>
      <c r="I100" s="42" t="s">
        <v>22</v>
      </c>
      <c r="J100" s="42" t="s">
        <v>23</v>
      </c>
      <c r="K100" s="42" t="s">
        <v>22</v>
      </c>
      <c r="L100" s="42" t="s">
        <v>23</v>
      </c>
      <c r="M100" s="42" t="s">
        <v>22</v>
      </c>
      <c r="N100" s="42" t="s">
        <v>23</v>
      </c>
      <c r="O100" s="42" t="s">
        <v>22</v>
      </c>
      <c r="P100" s="43" t="s">
        <v>23</v>
      </c>
      <c r="Q100" s="41"/>
      <c r="R100" s="41"/>
      <c r="S100" s="44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</row>
    <row r="101" spans="1:38" ht="15.75" customHeight="1" x14ac:dyDescent="0.2">
      <c r="A101" s="41" t="s">
        <v>176</v>
      </c>
      <c r="B101" s="41" t="s">
        <v>116</v>
      </c>
      <c r="C101" s="41"/>
      <c r="D101" s="41" t="s">
        <v>22</v>
      </c>
      <c r="E101" s="42" t="s">
        <v>22</v>
      </c>
      <c r="F101" s="42" t="s">
        <v>23</v>
      </c>
      <c r="G101" s="42" t="s">
        <v>22</v>
      </c>
      <c r="H101" s="42" t="s">
        <v>23</v>
      </c>
      <c r="I101" s="42" t="s">
        <v>22</v>
      </c>
      <c r="J101" s="42" t="s">
        <v>23</v>
      </c>
      <c r="K101" s="42" t="s">
        <v>22</v>
      </c>
      <c r="L101" s="42" t="s">
        <v>23</v>
      </c>
      <c r="M101" s="42" t="s">
        <v>22</v>
      </c>
      <c r="N101" s="42" t="s">
        <v>23</v>
      </c>
      <c r="O101" s="42" t="s">
        <v>22</v>
      </c>
      <c r="P101" s="43" t="s">
        <v>23</v>
      </c>
      <c r="Q101" s="41"/>
      <c r="R101" s="41"/>
      <c r="S101" s="44" t="s">
        <v>177</v>
      </c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</row>
    <row r="102" spans="1:38" ht="15.75" customHeight="1" x14ac:dyDescent="0.2">
      <c r="A102" s="41" t="s">
        <v>178</v>
      </c>
      <c r="B102" s="41" t="s">
        <v>116</v>
      </c>
      <c r="C102" s="41" t="s">
        <v>178</v>
      </c>
      <c r="D102" s="41" t="s">
        <v>22</v>
      </c>
      <c r="E102" s="42" t="s">
        <v>22</v>
      </c>
      <c r="F102" s="42" t="s">
        <v>23</v>
      </c>
      <c r="G102" s="42" t="s">
        <v>22</v>
      </c>
      <c r="H102" s="42" t="s">
        <v>23</v>
      </c>
      <c r="I102" s="42" t="s">
        <v>22</v>
      </c>
      <c r="J102" s="42" t="s">
        <v>23</v>
      </c>
      <c r="K102" s="42" t="s">
        <v>22</v>
      </c>
      <c r="L102" s="42" t="s">
        <v>23</v>
      </c>
      <c r="M102" s="42" t="s">
        <v>22</v>
      </c>
      <c r="N102" s="42" t="s">
        <v>23</v>
      </c>
      <c r="O102" s="42" t="s">
        <v>22</v>
      </c>
      <c r="P102" s="43" t="s">
        <v>23</v>
      </c>
      <c r="Q102" s="41"/>
      <c r="R102" s="41"/>
      <c r="S102" s="44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</row>
    <row r="103" spans="1:38" ht="15.75" customHeight="1" x14ac:dyDescent="0.2">
      <c r="A103" s="41" t="s">
        <v>179</v>
      </c>
      <c r="B103" s="41" t="s">
        <v>116</v>
      </c>
      <c r="C103" s="41" t="s">
        <v>179</v>
      </c>
      <c r="D103" s="41" t="s">
        <v>22</v>
      </c>
      <c r="E103" s="42" t="s">
        <v>22</v>
      </c>
      <c r="F103" s="42" t="s">
        <v>23</v>
      </c>
      <c r="G103" s="42" t="s">
        <v>22</v>
      </c>
      <c r="H103" s="42" t="s">
        <v>23</v>
      </c>
      <c r="I103" s="42" t="s">
        <v>22</v>
      </c>
      <c r="J103" s="42" t="s">
        <v>23</v>
      </c>
      <c r="K103" s="42" t="s">
        <v>22</v>
      </c>
      <c r="L103" s="42" t="s">
        <v>23</v>
      </c>
      <c r="M103" s="42" t="s">
        <v>22</v>
      </c>
      <c r="N103" s="42" t="s">
        <v>23</v>
      </c>
      <c r="O103" s="42" t="s">
        <v>22</v>
      </c>
      <c r="P103" s="43" t="s">
        <v>23</v>
      </c>
      <c r="Q103" s="41"/>
      <c r="R103" s="41"/>
      <c r="S103" s="44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</row>
    <row r="104" spans="1:38" ht="15.75" customHeight="1" x14ac:dyDescent="0.2">
      <c r="A104" s="41" t="s">
        <v>180</v>
      </c>
      <c r="B104" s="41" t="s">
        <v>116</v>
      </c>
      <c r="C104" s="41" t="s">
        <v>180</v>
      </c>
      <c r="D104" s="41" t="s">
        <v>19</v>
      </c>
      <c r="E104" s="42" t="s">
        <v>22</v>
      </c>
      <c r="F104" s="42" t="s">
        <v>25</v>
      </c>
      <c r="G104" s="42" t="s">
        <v>22</v>
      </c>
      <c r="H104" s="42" t="s">
        <v>25</v>
      </c>
      <c r="I104" s="42" t="s">
        <v>22</v>
      </c>
      <c r="J104" s="42" t="s">
        <v>25</v>
      </c>
      <c r="K104" s="42" t="s">
        <v>22</v>
      </c>
      <c r="L104" s="42" t="s">
        <v>25</v>
      </c>
      <c r="M104" s="42" t="s">
        <v>22</v>
      </c>
      <c r="N104" s="42" t="s">
        <v>345</v>
      </c>
      <c r="O104" s="42" t="s">
        <v>22</v>
      </c>
      <c r="P104" s="24" t="s">
        <v>345</v>
      </c>
      <c r="Q104" s="44" t="s">
        <v>181</v>
      </c>
      <c r="R104" s="41"/>
      <c r="S104" s="44" t="s">
        <v>182</v>
      </c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</row>
    <row r="105" spans="1:38" ht="15.75" customHeight="1" x14ac:dyDescent="0.2">
      <c r="A105" s="41" t="s">
        <v>183</v>
      </c>
      <c r="B105" s="41" t="s">
        <v>116</v>
      </c>
      <c r="C105" s="41" t="s">
        <v>183</v>
      </c>
      <c r="D105" s="41" t="s">
        <v>22</v>
      </c>
      <c r="E105" s="42" t="s">
        <v>22</v>
      </c>
      <c r="F105" s="42" t="s">
        <v>23</v>
      </c>
      <c r="G105" s="42" t="s">
        <v>22</v>
      </c>
      <c r="H105" s="42" t="s">
        <v>23</v>
      </c>
      <c r="I105" s="42" t="s">
        <v>22</v>
      </c>
      <c r="J105" s="42" t="s">
        <v>23</v>
      </c>
      <c r="K105" s="42" t="s">
        <v>22</v>
      </c>
      <c r="L105" s="42" t="s">
        <v>23</v>
      </c>
      <c r="M105" s="42" t="s">
        <v>22</v>
      </c>
      <c r="N105" s="42" t="s">
        <v>23</v>
      </c>
      <c r="O105" s="42" t="s">
        <v>22</v>
      </c>
      <c r="P105" s="43" t="s">
        <v>23</v>
      </c>
      <c r="Q105" s="41"/>
      <c r="R105" s="41"/>
      <c r="S105" s="44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</row>
    <row r="106" spans="1:38" ht="15.75" customHeight="1" x14ac:dyDescent="0.2">
      <c r="A106" s="41" t="s">
        <v>184</v>
      </c>
      <c r="B106" s="41" t="s">
        <v>18</v>
      </c>
      <c r="C106" s="41"/>
      <c r="D106" s="41" t="s">
        <v>22</v>
      </c>
      <c r="E106" s="42" t="s">
        <v>22</v>
      </c>
      <c r="F106" s="42" t="s">
        <v>23</v>
      </c>
      <c r="G106" s="42" t="s">
        <v>22</v>
      </c>
      <c r="H106" s="42" t="s">
        <v>23</v>
      </c>
      <c r="I106" s="42" t="s">
        <v>22</v>
      </c>
      <c r="J106" s="42" t="s">
        <v>23</v>
      </c>
      <c r="K106" s="42" t="s">
        <v>22</v>
      </c>
      <c r="L106" s="42" t="s">
        <v>23</v>
      </c>
      <c r="M106" s="42" t="s">
        <v>22</v>
      </c>
      <c r="N106" s="42" t="s">
        <v>23</v>
      </c>
      <c r="O106" s="42" t="s">
        <v>22</v>
      </c>
      <c r="P106" s="43" t="s">
        <v>23</v>
      </c>
      <c r="Q106" s="41" t="s">
        <v>185</v>
      </c>
      <c r="R106" s="41"/>
      <c r="S106" s="44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</row>
    <row r="107" spans="1:38" ht="15.75" customHeight="1" x14ac:dyDescent="0.2">
      <c r="A107" s="41" t="s">
        <v>186</v>
      </c>
      <c r="B107" s="41" t="s">
        <v>18</v>
      </c>
      <c r="C107" s="41" t="s">
        <v>186</v>
      </c>
      <c r="D107" s="41" t="s">
        <v>22</v>
      </c>
      <c r="E107" s="42" t="s">
        <v>22</v>
      </c>
      <c r="F107" s="42" t="s">
        <v>23</v>
      </c>
      <c r="G107" s="42" t="s">
        <v>22</v>
      </c>
      <c r="H107" s="42" t="s">
        <v>23</v>
      </c>
      <c r="I107" s="42" t="s">
        <v>22</v>
      </c>
      <c r="J107" s="42" t="s">
        <v>23</v>
      </c>
      <c r="K107" s="42" t="s">
        <v>22</v>
      </c>
      <c r="L107" s="42" t="s">
        <v>23</v>
      </c>
      <c r="M107" s="42" t="s">
        <v>22</v>
      </c>
      <c r="N107" s="42" t="s">
        <v>23</v>
      </c>
      <c r="O107" s="42" t="s">
        <v>22</v>
      </c>
      <c r="P107" s="43" t="s">
        <v>23</v>
      </c>
      <c r="Q107" s="41"/>
      <c r="R107" s="41"/>
      <c r="S107" s="44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</row>
    <row r="108" spans="1:38" ht="15.75" customHeight="1" x14ac:dyDescent="0.2">
      <c r="A108" s="41" t="s">
        <v>187</v>
      </c>
      <c r="B108" s="41" t="s">
        <v>18</v>
      </c>
      <c r="C108" s="41" t="s">
        <v>187</v>
      </c>
      <c r="D108" s="41" t="s">
        <v>22</v>
      </c>
      <c r="E108" s="42" t="s">
        <v>22</v>
      </c>
      <c r="F108" s="42" t="s">
        <v>23</v>
      </c>
      <c r="G108" s="42" t="s">
        <v>22</v>
      </c>
      <c r="H108" s="42" t="s">
        <v>23</v>
      </c>
      <c r="I108" s="42" t="s">
        <v>22</v>
      </c>
      <c r="J108" s="42" t="s">
        <v>23</v>
      </c>
      <c r="K108" s="42" t="s">
        <v>22</v>
      </c>
      <c r="L108" s="42" t="s">
        <v>23</v>
      </c>
      <c r="M108" s="42" t="s">
        <v>22</v>
      </c>
      <c r="N108" s="42" t="s">
        <v>23</v>
      </c>
      <c r="O108" s="42" t="s">
        <v>22</v>
      </c>
      <c r="P108" s="43" t="s">
        <v>23</v>
      </c>
      <c r="Q108" s="41"/>
      <c r="R108" s="41"/>
      <c r="S108" s="44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</row>
    <row r="109" spans="1:38" ht="15.75" customHeight="1" x14ac:dyDescent="0.2">
      <c r="A109" s="41" t="s">
        <v>188</v>
      </c>
      <c r="B109" s="41" t="s">
        <v>116</v>
      </c>
      <c r="C109" s="41" t="s">
        <v>188</v>
      </c>
      <c r="D109" s="41" t="s">
        <v>22</v>
      </c>
      <c r="E109" s="42" t="s">
        <v>22</v>
      </c>
      <c r="F109" s="42" t="s">
        <v>23</v>
      </c>
      <c r="G109" s="42" t="s">
        <v>22</v>
      </c>
      <c r="H109" s="42" t="s">
        <v>23</v>
      </c>
      <c r="I109" s="42" t="s">
        <v>22</v>
      </c>
      <c r="J109" s="42" t="s">
        <v>23</v>
      </c>
      <c r="K109" s="42" t="s">
        <v>22</v>
      </c>
      <c r="L109" s="42" t="s">
        <v>23</v>
      </c>
      <c r="M109" s="42" t="s">
        <v>22</v>
      </c>
      <c r="N109" s="42" t="s">
        <v>23</v>
      </c>
      <c r="O109" s="42" t="s">
        <v>22</v>
      </c>
      <c r="P109" s="43" t="s">
        <v>23</v>
      </c>
      <c r="Q109" s="13"/>
      <c r="R109" s="41"/>
      <c r="S109" s="44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</row>
    <row r="110" spans="1:38" ht="15.75" customHeight="1" x14ac:dyDescent="0.2">
      <c r="A110" s="41" t="s">
        <v>189</v>
      </c>
      <c r="B110" s="41" t="s">
        <v>116</v>
      </c>
      <c r="C110" s="41" t="s">
        <v>189</v>
      </c>
      <c r="D110" s="41" t="s">
        <v>22</v>
      </c>
      <c r="E110" s="42" t="s">
        <v>22</v>
      </c>
      <c r="F110" s="42" t="s">
        <v>23</v>
      </c>
      <c r="G110" s="42" t="s">
        <v>22</v>
      </c>
      <c r="H110" s="42" t="s">
        <v>23</v>
      </c>
      <c r="I110" s="42" t="s">
        <v>22</v>
      </c>
      <c r="J110" s="42" t="s">
        <v>23</v>
      </c>
      <c r="K110" s="42" t="s">
        <v>22</v>
      </c>
      <c r="L110" s="42" t="s">
        <v>23</v>
      </c>
      <c r="M110" s="42" t="s">
        <v>22</v>
      </c>
      <c r="N110" s="42" t="s">
        <v>23</v>
      </c>
      <c r="O110" s="42" t="s">
        <v>22</v>
      </c>
      <c r="P110" s="43" t="s">
        <v>23</v>
      </c>
      <c r="Q110" s="41"/>
      <c r="R110" s="41"/>
      <c r="S110" s="44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</row>
    <row r="111" spans="1:38" ht="15.75" customHeight="1" x14ac:dyDescent="0.2">
      <c r="A111" s="41" t="s">
        <v>190</v>
      </c>
      <c r="B111" s="41" t="s">
        <v>116</v>
      </c>
      <c r="C111" s="41" t="s">
        <v>190</v>
      </c>
      <c r="D111" s="41" t="s">
        <v>22</v>
      </c>
      <c r="E111" s="42" t="s">
        <v>22</v>
      </c>
      <c r="F111" s="42" t="s">
        <v>23</v>
      </c>
      <c r="G111" s="42" t="s">
        <v>22</v>
      </c>
      <c r="H111" s="42" t="s">
        <v>23</v>
      </c>
      <c r="I111" s="42" t="s">
        <v>22</v>
      </c>
      <c r="J111" s="42" t="s">
        <v>23</v>
      </c>
      <c r="K111" s="42" t="s">
        <v>22</v>
      </c>
      <c r="L111" s="42" t="s">
        <v>23</v>
      </c>
      <c r="M111" s="42" t="s">
        <v>22</v>
      </c>
      <c r="N111" s="42" t="s">
        <v>23</v>
      </c>
      <c r="O111" s="42" t="s">
        <v>22</v>
      </c>
      <c r="P111" s="43" t="s">
        <v>23</v>
      </c>
      <c r="Q111" s="41"/>
      <c r="R111" s="41"/>
      <c r="S111" s="44"/>
      <c r="T111" s="11"/>
      <c r="U111" s="11"/>
      <c r="V111" s="11"/>
      <c r="W111" s="11"/>
      <c r="X111" s="11"/>
      <c r="Y111" s="11"/>
      <c r="Z111" s="11"/>
      <c r="AA111" s="11"/>
      <c r="AB111" s="11"/>
      <c r="AC111" s="11"/>
      <c r="AD111" s="11"/>
      <c r="AE111" s="11"/>
      <c r="AF111" s="11"/>
      <c r="AG111" s="11"/>
      <c r="AH111" s="11"/>
      <c r="AI111" s="11"/>
      <c r="AJ111" s="11"/>
      <c r="AK111" s="11"/>
      <c r="AL111" s="11"/>
    </row>
    <row r="112" spans="1:38" ht="15.75" customHeight="1" x14ac:dyDescent="0.2">
      <c r="A112" s="41" t="s">
        <v>191</v>
      </c>
      <c r="B112" s="41" t="s">
        <v>116</v>
      </c>
      <c r="C112" s="41" t="s">
        <v>191</v>
      </c>
      <c r="D112" s="41" t="s">
        <v>22</v>
      </c>
      <c r="E112" s="42" t="s">
        <v>22</v>
      </c>
      <c r="F112" s="42" t="s">
        <v>23</v>
      </c>
      <c r="G112" s="42" t="s">
        <v>22</v>
      </c>
      <c r="H112" s="42" t="s">
        <v>23</v>
      </c>
      <c r="I112" s="42" t="s">
        <v>22</v>
      </c>
      <c r="J112" s="42" t="s">
        <v>23</v>
      </c>
      <c r="K112" s="42" t="s">
        <v>22</v>
      </c>
      <c r="L112" s="42" t="s">
        <v>23</v>
      </c>
      <c r="M112" s="42" t="s">
        <v>22</v>
      </c>
      <c r="N112" s="42" t="s">
        <v>23</v>
      </c>
      <c r="O112" s="42" t="s">
        <v>22</v>
      </c>
      <c r="P112" s="43" t="s">
        <v>23</v>
      </c>
      <c r="Q112" s="41"/>
      <c r="R112" s="41"/>
      <c r="S112" s="44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</row>
    <row r="113" spans="1:38" ht="15.75" customHeight="1" x14ac:dyDescent="0.2">
      <c r="A113" s="41" t="s">
        <v>192</v>
      </c>
      <c r="B113" s="41" t="s">
        <v>116</v>
      </c>
      <c r="C113" s="41" t="s">
        <v>192</v>
      </c>
      <c r="D113" s="41" t="s">
        <v>22</v>
      </c>
      <c r="E113" s="42" t="s">
        <v>22</v>
      </c>
      <c r="F113" s="42" t="s">
        <v>23</v>
      </c>
      <c r="G113" s="42" t="s">
        <v>22</v>
      </c>
      <c r="H113" s="42" t="s">
        <v>23</v>
      </c>
      <c r="I113" s="42" t="s">
        <v>22</v>
      </c>
      <c r="J113" s="42" t="s">
        <v>23</v>
      </c>
      <c r="K113" s="42" t="s">
        <v>22</v>
      </c>
      <c r="L113" s="42" t="s">
        <v>23</v>
      </c>
      <c r="M113" s="42" t="s">
        <v>22</v>
      </c>
      <c r="N113" s="42" t="s">
        <v>23</v>
      </c>
      <c r="O113" s="42" t="s">
        <v>22</v>
      </c>
      <c r="P113" s="43" t="s">
        <v>23</v>
      </c>
      <c r="Q113" s="41"/>
      <c r="R113" s="41"/>
      <c r="S113" s="44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</row>
    <row r="114" spans="1:38" ht="15.75" customHeight="1" x14ac:dyDescent="0.2">
      <c r="A114" s="41" t="s">
        <v>193</v>
      </c>
      <c r="B114" s="41" t="s">
        <v>116</v>
      </c>
      <c r="C114" s="41" t="s">
        <v>193</v>
      </c>
      <c r="D114" s="41" t="s">
        <v>22</v>
      </c>
      <c r="E114" s="42" t="s">
        <v>22</v>
      </c>
      <c r="F114" s="42" t="s">
        <v>23</v>
      </c>
      <c r="G114" s="42" t="s">
        <v>22</v>
      </c>
      <c r="H114" s="42" t="s">
        <v>23</v>
      </c>
      <c r="I114" s="42" t="s">
        <v>22</v>
      </c>
      <c r="J114" s="42" t="s">
        <v>23</v>
      </c>
      <c r="K114" s="42" t="s">
        <v>22</v>
      </c>
      <c r="L114" s="42" t="s">
        <v>23</v>
      </c>
      <c r="M114" s="42" t="s">
        <v>22</v>
      </c>
      <c r="N114" s="42" t="s">
        <v>23</v>
      </c>
      <c r="O114" s="42" t="s">
        <v>22</v>
      </c>
      <c r="P114" s="43" t="s">
        <v>23</v>
      </c>
      <c r="Q114" s="41"/>
      <c r="R114" s="41"/>
      <c r="S114" s="44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</row>
    <row r="115" spans="1:38" ht="15.75" customHeight="1" x14ac:dyDescent="0.2">
      <c r="A115" s="41" t="s">
        <v>194</v>
      </c>
      <c r="B115" s="41" t="s">
        <v>144</v>
      </c>
      <c r="C115" s="41" t="s">
        <v>194</v>
      </c>
      <c r="D115" s="41" t="s">
        <v>22</v>
      </c>
      <c r="E115" s="24" t="s">
        <v>22</v>
      </c>
      <c r="F115" s="42" t="s">
        <v>23</v>
      </c>
      <c r="G115" s="24" t="s">
        <v>22</v>
      </c>
      <c r="H115" s="42" t="s">
        <v>23</v>
      </c>
      <c r="I115" s="24" t="s">
        <v>22</v>
      </c>
      <c r="J115" s="42" t="s">
        <v>23</v>
      </c>
      <c r="K115" s="24" t="s">
        <v>22</v>
      </c>
      <c r="L115" s="42" t="s">
        <v>23</v>
      </c>
      <c r="M115" s="24" t="s">
        <v>22</v>
      </c>
      <c r="N115" s="42" t="s">
        <v>23</v>
      </c>
      <c r="O115" s="24" t="s">
        <v>22</v>
      </c>
      <c r="P115" s="43" t="s">
        <v>23</v>
      </c>
      <c r="Q115" s="41"/>
      <c r="R115" s="41"/>
      <c r="S115" s="44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</row>
    <row r="116" spans="1:38" ht="15.75" customHeight="1" x14ac:dyDescent="0.2">
      <c r="A116" s="41" t="s">
        <v>195</v>
      </c>
      <c r="B116" s="41" t="s">
        <v>144</v>
      </c>
      <c r="C116" s="41" t="s">
        <v>195</v>
      </c>
      <c r="D116" s="41" t="s">
        <v>22</v>
      </c>
      <c r="E116" s="41" t="s">
        <v>22</v>
      </c>
      <c r="F116" s="42" t="s">
        <v>23</v>
      </c>
      <c r="G116" s="41" t="s">
        <v>22</v>
      </c>
      <c r="H116" s="42" t="s">
        <v>23</v>
      </c>
      <c r="I116" s="41" t="s">
        <v>22</v>
      </c>
      <c r="J116" s="42" t="s">
        <v>23</v>
      </c>
      <c r="K116" s="41" t="s">
        <v>22</v>
      </c>
      <c r="L116" s="42" t="s">
        <v>23</v>
      </c>
      <c r="M116" s="41" t="s">
        <v>22</v>
      </c>
      <c r="N116" s="42" t="s">
        <v>23</v>
      </c>
      <c r="O116" s="41" t="s">
        <v>22</v>
      </c>
      <c r="P116" s="43" t="s">
        <v>23</v>
      </c>
      <c r="Q116" s="41"/>
      <c r="R116" s="41"/>
      <c r="S116" s="44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</row>
    <row r="117" spans="1:38" ht="15.75" customHeight="1" x14ac:dyDescent="0.2">
      <c r="A117" s="41" t="s">
        <v>196</v>
      </c>
      <c r="B117" s="41" t="s">
        <v>144</v>
      </c>
      <c r="C117" s="41" t="s">
        <v>196</v>
      </c>
      <c r="D117" s="41" t="s">
        <v>19</v>
      </c>
      <c r="E117" s="41" t="s">
        <v>22</v>
      </c>
      <c r="F117" s="42" t="s">
        <v>25</v>
      </c>
      <c r="G117" s="41" t="s">
        <v>22</v>
      </c>
      <c r="H117" s="42" t="s">
        <v>25</v>
      </c>
      <c r="I117" s="41" t="s">
        <v>22</v>
      </c>
      <c r="J117" s="42" t="s">
        <v>25</v>
      </c>
      <c r="K117" s="41" t="s">
        <v>22</v>
      </c>
      <c r="L117" s="42" t="s">
        <v>25</v>
      </c>
      <c r="M117" s="41" t="s">
        <v>22</v>
      </c>
      <c r="N117" s="42" t="s">
        <v>345</v>
      </c>
      <c r="O117" s="41" t="s">
        <v>22</v>
      </c>
      <c r="P117" s="24" t="s">
        <v>345</v>
      </c>
      <c r="Q117" s="41"/>
      <c r="R117" s="41"/>
      <c r="S117" s="44" t="s">
        <v>197</v>
      </c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</row>
    <row r="118" spans="1:38" ht="15.75" customHeight="1" x14ac:dyDescent="0.2">
      <c r="A118" s="41" t="s">
        <v>198</v>
      </c>
      <c r="B118" s="41" t="s">
        <v>144</v>
      </c>
      <c r="C118" s="41"/>
      <c r="D118" s="41" t="s">
        <v>22</v>
      </c>
      <c r="E118" s="41" t="s">
        <v>22</v>
      </c>
      <c r="F118" s="42" t="s">
        <v>23</v>
      </c>
      <c r="G118" s="41" t="s">
        <v>22</v>
      </c>
      <c r="H118" s="42" t="s">
        <v>23</v>
      </c>
      <c r="I118" s="41" t="s">
        <v>22</v>
      </c>
      <c r="J118" s="42" t="s">
        <v>23</v>
      </c>
      <c r="K118" s="41" t="s">
        <v>22</v>
      </c>
      <c r="L118" s="42" t="s">
        <v>23</v>
      </c>
      <c r="M118" s="41" t="s">
        <v>22</v>
      </c>
      <c r="N118" s="42" t="s">
        <v>23</v>
      </c>
      <c r="O118" s="41" t="s">
        <v>22</v>
      </c>
      <c r="P118" s="43" t="s">
        <v>23</v>
      </c>
      <c r="Q118" s="41" t="s">
        <v>199</v>
      </c>
      <c r="R118" s="41"/>
      <c r="S118" s="44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</row>
    <row r="119" spans="1:38" ht="15.75" customHeight="1" x14ac:dyDescent="0.2">
      <c r="A119" s="47" t="s">
        <v>200</v>
      </c>
      <c r="B119" s="47" t="s">
        <v>144</v>
      </c>
      <c r="C119" s="47" t="s">
        <v>200</v>
      </c>
      <c r="D119" s="47" t="s">
        <v>22</v>
      </c>
      <c r="E119" s="47" t="s">
        <v>22</v>
      </c>
      <c r="F119" s="42" t="s">
        <v>23</v>
      </c>
      <c r="G119" s="47" t="s">
        <v>22</v>
      </c>
      <c r="H119" s="42" t="s">
        <v>23</v>
      </c>
      <c r="I119" s="47" t="s">
        <v>22</v>
      </c>
      <c r="J119" s="42" t="s">
        <v>23</v>
      </c>
      <c r="K119" s="47" t="s">
        <v>22</v>
      </c>
      <c r="L119" s="42" t="s">
        <v>23</v>
      </c>
      <c r="M119" s="47" t="s">
        <v>22</v>
      </c>
      <c r="N119" s="42" t="s">
        <v>23</v>
      </c>
      <c r="O119" s="47" t="s">
        <v>22</v>
      </c>
      <c r="P119" s="43" t="s">
        <v>23</v>
      </c>
      <c r="Q119" s="47"/>
      <c r="R119" s="47"/>
      <c r="S119" s="48"/>
      <c r="T119" s="12"/>
      <c r="U119" s="12"/>
      <c r="V119" s="12"/>
      <c r="W119" s="12"/>
      <c r="X119" s="12"/>
      <c r="Y119" s="12"/>
      <c r="Z119" s="12"/>
      <c r="AA119" s="12"/>
      <c r="AB119" s="12"/>
      <c r="AC119" s="12"/>
      <c r="AD119" s="12"/>
      <c r="AE119" s="12"/>
      <c r="AF119" s="12"/>
      <c r="AG119" s="12"/>
      <c r="AH119" s="12"/>
      <c r="AI119" s="12"/>
      <c r="AJ119" s="12"/>
      <c r="AK119" s="12"/>
      <c r="AL119" s="12"/>
    </row>
    <row r="120" spans="1:38" ht="15.75" customHeight="1" x14ac:dyDescent="0.2">
      <c r="A120" s="13" t="s">
        <v>201</v>
      </c>
      <c r="B120" s="13" t="s">
        <v>144</v>
      </c>
      <c r="C120" s="13" t="s">
        <v>201</v>
      </c>
      <c r="D120" s="13" t="s">
        <v>22</v>
      </c>
      <c r="E120" s="22" t="s">
        <v>22</v>
      </c>
      <c r="F120" s="42" t="s">
        <v>23</v>
      </c>
      <c r="G120" s="22" t="s">
        <v>22</v>
      </c>
      <c r="H120" s="42" t="s">
        <v>23</v>
      </c>
      <c r="I120" s="22" t="s">
        <v>22</v>
      </c>
      <c r="J120" s="42" t="s">
        <v>23</v>
      </c>
      <c r="K120" s="13" t="s">
        <v>22</v>
      </c>
      <c r="L120" s="42" t="s">
        <v>23</v>
      </c>
      <c r="M120" s="13" t="s">
        <v>22</v>
      </c>
      <c r="N120" s="42" t="s">
        <v>23</v>
      </c>
      <c r="O120" s="22" t="s">
        <v>22</v>
      </c>
      <c r="P120" s="42" t="s">
        <v>23</v>
      </c>
      <c r="Q120" s="13"/>
      <c r="R120" s="13"/>
      <c r="S120" t="s">
        <v>202</v>
      </c>
    </row>
    <row r="121" spans="1:38" ht="15.75" customHeight="1" x14ac:dyDescent="0.2">
      <c r="A121" s="13" t="s">
        <v>203</v>
      </c>
      <c r="B121" s="13" t="s">
        <v>144</v>
      </c>
      <c r="C121" s="13" t="s">
        <v>203</v>
      </c>
      <c r="D121" s="22" t="s">
        <v>22</v>
      </c>
      <c r="E121" s="13" t="s">
        <v>22</v>
      </c>
      <c r="F121" s="42" t="s">
        <v>23</v>
      </c>
      <c r="G121" s="13" t="s">
        <v>22</v>
      </c>
      <c r="H121" s="42" t="s">
        <v>23</v>
      </c>
      <c r="I121" s="13" t="s">
        <v>22</v>
      </c>
      <c r="J121" s="42" t="s">
        <v>23</v>
      </c>
      <c r="K121" s="13" t="s">
        <v>22</v>
      </c>
      <c r="L121" s="42" t="s">
        <v>23</v>
      </c>
      <c r="M121" s="13" t="s">
        <v>22</v>
      </c>
      <c r="N121" s="42" t="s">
        <v>23</v>
      </c>
      <c r="O121" s="13" t="s">
        <v>22</v>
      </c>
      <c r="P121" s="24" t="s">
        <v>23</v>
      </c>
      <c r="Q121" s="13" t="s">
        <v>204</v>
      </c>
      <c r="R121" s="13"/>
    </row>
    <row r="122" spans="1:38" ht="15.75" customHeight="1" x14ac:dyDescent="0.2">
      <c r="A122" s="13" t="s">
        <v>205</v>
      </c>
      <c r="B122" s="13" t="s">
        <v>144</v>
      </c>
      <c r="C122" s="13"/>
      <c r="D122" s="13" t="s">
        <v>22</v>
      </c>
      <c r="E122" s="13" t="s">
        <v>22</v>
      </c>
      <c r="F122" s="42" t="s">
        <v>23</v>
      </c>
      <c r="G122" s="13" t="s">
        <v>22</v>
      </c>
      <c r="H122" s="42" t="s">
        <v>23</v>
      </c>
      <c r="I122" s="13" t="s">
        <v>22</v>
      </c>
      <c r="J122" s="42" t="s">
        <v>23</v>
      </c>
      <c r="K122" s="13" t="s">
        <v>22</v>
      </c>
      <c r="L122" s="42" t="s">
        <v>23</v>
      </c>
      <c r="M122" s="13" t="s">
        <v>22</v>
      </c>
      <c r="N122" s="42" t="s">
        <v>23</v>
      </c>
      <c r="O122" s="13" t="s">
        <v>22</v>
      </c>
      <c r="P122" s="43" t="s">
        <v>23</v>
      </c>
      <c r="Q122" s="13"/>
      <c r="R122" s="13"/>
    </row>
    <row r="123" spans="1:38" ht="15.75" customHeight="1" x14ac:dyDescent="0.2">
      <c r="A123" s="13" t="s">
        <v>206</v>
      </c>
      <c r="B123" s="13" t="s">
        <v>144</v>
      </c>
      <c r="C123" s="13" t="s">
        <v>206</v>
      </c>
      <c r="D123" s="13" t="s">
        <v>22</v>
      </c>
      <c r="E123" s="13" t="s">
        <v>22</v>
      </c>
      <c r="F123" s="42" t="s">
        <v>23</v>
      </c>
      <c r="G123" s="13" t="s">
        <v>22</v>
      </c>
      <c r="H123" s="42" t="s">
        <v>23</v>
      </c>
      <c r="I123" s="13" t="s">
        <v>22</v>
      </c>
      <c r="J123" s="42" t="s">
        <v>23</v>
      </c>
      <c r="K123" s="41" t="s">
        <v>22</v>
      </c>
      <c r="L123" s="42" t="s">
        <v>23</v>
      </c>
      <c r="M123" s="13" t="s">
        <v>22</v>
      </c>
      <c r="N123" s="42" t="s">
        <v>23</v>
      </c>
      <c r="O123" s="13" t="s">
        <v>22</v>
      </c>
      <c r="P123" s="43" t="s">
        <v>23</v>
      </c>
      <c r="Q123" s="13"/>
      <c r="R123" s="13"/>
    </row>
    <row r="124" spans="1:38" ht="15.75" customHeight="1" x14ac:dyDescent="0.2">
      <c r="A124" s="13" t="s">
        <v>207</v>
      </c>
      <c r="B124" s="13" t="s">
        <v>144</v>
      </c>
      <c r="C124" s="13" t="s">
        <v>207</v>
      </c>
      <c r="D124" s="13" t="s">
        <v>19</v>
      </c>
      <c r="E124" s="13" t="s">
        <v>19</v>
      </c>
      <c r="F124" s="42" t="s">
        <v>23</v>
      </c>
      <c r="G124" s="13" t="s">
        <v>22</v>
      </c>
      <c r="H124" s="42" t="s">
        <v>25</v>
      </c>
      <c r="I124" s="13" t="s">
        <v>22</v>
      </c>
      <c r="J124" s="42" t="s">
        <v>25</v>
      </c>
      <c r="K124" s="13" t="s">
        <v>22</v>
      </c>
      <c r="L124" s="42" t="s">
        <v>25</v>
      </c>
      <c r="M124" s="13" t="s">
        <v>22</v>
      </c>
      <c r="N124" s="42" t="s">
        <v>345</v>
      </c>
      <c r="O124" s="13" t="s">
        <v>19</v>
      </c>
      <c r="P124" s="43" t="s">
        <v>23</v>
      </c>
      <c r="Q124" s="13"/>
      <c r="R124" s="13"/>
      <c r="S124" t="s">
        <v>208</v>
      </c>
    </row>
    <row r="125" spans="1:38" ht="16" x14ac:dyDescent="0.2">
      <c r="A125" s="13" t="s">
        <v>209</v>
      </c>
      <c r="B125" s="13" t="s">
        <v>144</v>
      </c>
      <c r="C125" s="13" t="s">
        <v>209</v>
      </c>
      <c r="D125" s="13" t="s">
        <v>22</v>
      </c>
      <c r="E125" s="13" t="s">
        <v>22</v>
      </c>
      <c r="F125" s="42" t="s">
        <v>23</v>
      </c>
      <c r="G125" s="13" t="s">
        <v>22</v>
      </c>
      <c r="H125" s="42" t="s">
        <v>23</v>
      </c>
      <c r="I125" s="13" t="s">
        <v>22</v>
      </c>
      <c r="J125" s="42" t="s">
        <v>23</v>
      </c>
      <c r="K125" s="13" t="s">
        <v>22</v>
      </c>
      <c r="L125" s="42" t="s">
        <v>23</v>
      </c>
      <c r="M125" s="13" t="s">
        <v>22</v>
      </c>
      <c r="N125" s="42" t="s">
        <v>23</v>
      </c>
      <c r="O125" s="47" t="s">
        <v>22</v>
      </c>
      <c r="P125" s="50" t="s">
        <v>23</v>
      </c>
      <c r="Q125" s="13"/>
      <c r="R125" s="13"/>
    </row>
    <row r="126" spans="1:38" s="23" customFormat="1" ht="15.75" customHeight="1" x14ac:dyDescent="0.2">
      <c r="A126" s="13" t="s">
        <v>210</v>
      </c>
      <c r="B126" s="13" t="s">
        <v>144</v>
      </c>
      <c r="C126" s="13" t="s">
        <v>210</v>
      </c>
      <c r="D126" s="13" t="s">
        <v>22</v>
      </c>
      <c r="E126" s="13" t="s">
        <v>22</v>
      </c>
      <c r="F126" s="42" t="s">
        <v>23</v>
      </c>
      <c r="G126" s="13" t="s">
        <v>22</v>
      </c>
      <c r="H126" s="42" t="s">
        <v>23</v>
      </c>
      <c r="I126" s="13" t="s">
        <v>22</v>
      </c>
      <c r="J126" s="42" t="s">
        <v>23</v>
      </c>
      <c r="K126" s="13" t="s">
        <v>22</v>
      </c>
      <c r="L126" s="42" t="s">
        <v>23</v>
      </c>
      <c r="M126" s="13" t="s">
        <v>22</v>
      </c>
      <c r="N126" s="42" t="s">
        <v>23</v>
      </c>
      <c r="O126" s="13" t="s">
        <v>22</v>
      </c>
      <c r="P126" s="43" t="s">
        <v>23</v>
      </c>
      <c r="Q126" s="13"/>
      <c r="R126" s="13"/>
      <c r="S126"/>
    </row>
    <row r="127" spans="1:38" ht="15.75" customHeight="1" x14ac:dyDescent="0.2">
      <c r="A127" s="13" t="s">
        <v>211</v>
      </c>
      <c r="B127" s="13" t="s">
        <v>144</v>
      </c>
      <c r="C127" s="13" t="s">
        <v>211</v>
      </c>
      <c r="D127" s="13" t="s">
        <v>22</v>
      </c>
      <c r="E127" s="13" t="s">
        <v>22</v>
      </c>
      <c r="F127" s="42" t="s">
        <v>23</v>
      </c>
      <c r="G127" s="13" t="s">
        <v>22</v>
      </c>
      <c r="H127" s="42" t="s">
        <v>23</v>
      </c>
      <c r="I127" s="13" t="s">
        <v>22</v>
      </c>
      <c r="J127" s="42" t="s">
        <v>23</v>
      </c>
      <c r="K127" s="13" t="s">
        <v>22</v>
      </c>
      <c r="L127" s="42" t="s">
        <v>23</v>
      </c>
      <c r="M127" s="13" t="s">
        <v>22</v>
      </c>
      <c r="N127" s="42" t="s">
        <v>23</v>
      </c>
      <c r="O127" s="13" t="s">
        <v>22</v>
      </c>
      <c r="P127" s="22" t="s">
        <v>23</v>
      </c>
      <c r="Q127" s="13"/>
      <c r="R127" s="13"/>
    </row>
    <row r="128" spans="1:38" ht="15.75" customHeight="1" x14ac:dyDescent="0.2">
      <c r="A128" s="13" t="s">
        <v>212</v>
      </c>
      <c r="B128" s="13" t="s">
        <v>144</v>
      </c>
      <c r="C128" s="13" t="s">
        <v>212</v>
      </c>
      <c r="D128" s="13" t="s">
        <v>22</v>
      </c>
      <c r="E128" s="13" t="s">
        <v>22</v>
      </c>
      <c r="F128" s="42" t="s">
        <v>23</v>
      </c>
      <c r="G128" s="13" t="s">
        <v>22</v>
      </c>
      <c r="H128" s="42" t="s">
        <v>23</v>
      </c>
      <c r="I128" s="13" t="s">
        <v>22</v>
      </c>
      <c r="J128" s="42" t="s">
        <v>23</v>
      </c>
      <c r="K128" s="13" t="s">
        <v>22</v>
      </c>
      <c r="L128" s="42" t="s">
        <v>23</v>
      </c>
      <c r="M128" s="13" t="s">
        <v>22</v>
      </c>
      <c r="N128" s="42" t="s">
        <v>23</v>
      </c>
      <c r="O128" s="13" t="s">
        <v>22</v>
      </c>
      <c r="P128" s="22" t="s">
        <v>23</v>
      </c>
      <c r="Q128" s="13"/>
      <c r="R128" s="13"/>
    </row>
    <row r="129" spans="1:19" ht="15.75" customHeight="1" x14ac:dyDescent="0.2">
      <c r="A129" s="13" t="s">
        <v>213</v>
      </c>
      <c r="B129" s="13" t="s">
        <v>144</v>
      </c>
      <c r="C129" s="13" t="s">
        <v>213</v>
      </c>
      <c r="D129" s="13" t="s">
        <v>19</v>
      </c>
      <c r="E129" s="13" t="s">
        <v>22</v>
      </c>
      <c r="F129" s="42" t="s">
        <v>25</v>
      </c>
      <c r="G129" s="13" t="s">
        <v>22</v>
      </c>
      <c r="H129" s="42" t="s">
        <v>25</v>
      </c>
      <c r="I129" s="13" t="s">
        <v>22</v>
      </c>
      <c r="J129" s="42" t="s">
        <v>25</v>
      </c>
      <c r="K129" s="13" t="s">
        <v>22</v>
      </c>
      <c r="L129" s="42" t="s">
        <v>25</v>
      </c>
      <c r="M129" s="13" t="s">
        <v>22</v>
      </c>
      <c r="N129" s="42" t="s">
        <v>345</v>
      </c>
      <c r="O129" s="13" t="s">
        <v>22</v>
      </c>
      <c r="P129" s="24" t="s">
        <v>345</v>
      </c>
      <c r="Q129" s="13" t="s">
        <v>214</v>
      </c>
      <c r="R129" s="13"/>
    </row>
    <row r="130" spans="1:19" ht="15.75" customHeight="1" x14ac:dyDescent="0.2">
      <c r="A130" s="13" t="s">
        <v>215</v>
      </c>
      <c r="B130" s="13" t="s">
        <v>144</v>
      </c>
      <c r="C130" s="13" t="s">
        <v>215</v>
      </c>
      <c r="D130" s="13" t="s">
        <v>75</v>
      </c>
      <c r="E130" s="13" t="s">
        <v>22</v>
      </c>
      <c r="F130" s="42" t="s">
        <v>23</v>
      </c>
      <c r="G130" s="13" t="s">
        <v>22</v>
      </c>
      <c r="H130" s="42" t="s">
        <v>23</v>
      </c>
      <c r="I130" s="13" t="s">
        <v>22</v>
      </c>
      <c r="J130" s="42" t="s">
        <v>23</v>
      </c>
      <c r="K130" s="13" t="s">
        <v>22</v>
      </c>
      <c r="L130" s="42" t="s">
        <v>23</v>
      </c>
      <c r="M130" s="13" t="s">
        <v>22</v>
      </c>
      <c r="N130" s="42" t="s">
        <v>23</v>
      </c>
      <c r="O130" s="13" t="s">
        <v>22</v>
      </c>
      <c r="P130" s="22" t="s">
        <v>23</v>
      </c>
      <c r="Q130" s="13"/>
      <c r="R130" s="13"/>
    </row>
    <row r="131" spans="1:19" ht="15.75" customHeight="1" x14ac:dyDescent="0.2">
      <c r="A131" s="13" t="s">
        <v>216</v>
      </c>
      <c r="B131" s="13" t="s">
        <v>144</v>
      </c>
      <c r="C131" s="13" t="s">
        <v>216</v>
      </c>
      <c r="D131" s="13" t="s">
        <v>19</v>
      </c>
      <c r="E131" s="13" t="s">
        <v>22</v>
      </c>
      <c r="F131" s="42" t="s">
        <v>25</v>
      </c>
      <c r="G131" s="13" t="s">
        <v>22</v>
      </c>
      <c r="H131" s="42" t="s">
        <v>25</v>
      </c>
      <c r="I131" s="13" t="s">
        <v>22</v>
      </c>
      <c r="J131" s="42" t="s">
        <v>25</v>
      </c>
      <c r="K131" s="13" t="s">
        <v>22</v>
      </c>
      <c r="L131" s="42" t="s">
        <v>25</v>
      </c>
      <c r="M131" s="13" t="s">
        <v>22</v>
      </c>
      <c r="N131" s="42" t="s">
        <v>345</v>
      </c>
      <c r="O131" s="13" t="s">
        <v>22</v>
      </c>
      <c r="P131" s="14" t="s">
        <v>345</v>
      </c>
      <c r="Q131" s="13" t="s">
        <v>214</v>
      </c>
      <c r="R131" s="13"/>
    </row>
    <row r="132" spans="1:19" ht="15.75" customHeight="1" x14ac:dyDescent="0.2">
      <c r="A132" s="13" t="s">
        <v>217</v>
      </c>
      <c r="B132" s="13" t="s">
        <v>144</v>
      </c>
      <c r="C132" s="13" t="s">
        <v>217</v>
      </c>
      <c r="D132" s="13" t="s">
        <v>22</v>
      </c>
      <c r="E132" s="13" t="s">
        <v>22</v>
      </c>
      <c r="F132" s="42" t="s">
        <v>23</v>
      </c>
      <c r="G132" s="13" t="s">
        <v>22</v>
      </c>
      <c r="H132" s="42" t="s">
        <v>23</v>
      </c>
      <c r="I132" s="13" t="s">
        <v>22</v>
      </c>
      <c r="J132" s="42" t="s">
        <v>23</v>
      </c>
      <c r="K132" s="13" t="s">
        <v>22</v>
      </c>
      <c r="L132" s="42" t="s">
        <v>23</v>
      </c>
      <c r="M132" s="13" t="s">
        <v>22</v>
      </c>
      <c r="N132" s="42" t="s">
        <v>23</v>
      </c>
      <c r="O132" s="13" t="s">
        <v>22</v>
      </c>
      <c r="P132" s="22" t="s">
        <v>23</v>
      </c>
      <c r="Q132" s="13"/>
      <c r="R132" s="13"/>
    </row>
    <row r="133" spans="1:19" ht="15.75" customHeight="1" x14ac:dyDescent="0.2">
      <c r="A133" s="13" t="s">
        <v>218</v>
      </c>
      <c r="B133" s="13" t="s">
        <v>144</v>
      </c>
      <c r="C133" s="13" t="s">
        <v>218</v>
      </c>
      <c r="D133" s="13" t="s">
        <v>19</v>
      </c>
      <c r="E133" s="13" t="s">
        <v>22</v>
      </c>
      <c r="F133" s="42" t="s">
        <v>25</v>
      </c>
      <c r="G133" s="13" t="s">
        <v>22</v>
      </c>
      <c r="H133" s="42" t="s">
        <v>25</v>
      </c>
      <c r="I133" s="13" t="s">
        <v>22</v>
      </c>
      <c r="J133" s="42" t="s">
        <v>25</v>
      </c>
      <c r="K133" s="13" t="s">
        <v>22</v>
      </c>
      <c r="L133" s="42" t="s">
        <v>25</v>
      </c>
      <c r="M133" s="13" t="s">
        <v>22</v>
      </c>
      <c r="N133" s="42" t="s">
        <v>345</v>
      </c>
      <c r="O133" s="13" t="s">
        <v>22</v>
      </c>
      <c r="P133" s="14" t="s">
        <v>345</v>
      </c>
      <c r="Q133" s="13"/>
      <c r="R133" s="13"/>
      <c r="S133" t="s">
        <v>219</v>
      </c>
    </row>
    <row r="134" spans="1:19" ht="15.75" customHeight="1" x14ac:dyDescent="0.2">
      <c r="A134" s="13" t="s">
        <v>220</v>
      </c>
      <c r="B134" s="13" t="s">
        <v>18</v>
      </c>
      <c r="C134" s="13" t="s">
        <v>220</v>
      </c>
      <c r="D134" s="13" t="s">
        <v>22</v>
      </c>
      <c r="E134" s="13" t="s">
        <v>22</v>
      </c>
      <c r="F134" s="42" t="s">
        <v>23</v>
      </c>
      <c r="G134" s="13" t="s">
        <v>22</v>
      </c>
      <c r="H134" s="42" t="s">
        <v>23</v>
      </c>
      <c r="I134" s="13" t="s">
        <v>22</v>
      </c>
      <c r="J134" s="42" t="s">
        <v>23</v>
      </c>
      <c r="K134" s="13" t="s">
        <v>22</v>
      </c>
      <c r="L134" s="42" t="s">
        <v>23</v>
      </c>
      <c r="M134" s="13" t="s">
        <v>22</v>
      </c>
      <c r="N134" s="42" t="s">
        <v>23</v>
      </c>
      <c r="O134" s="13" t="s">
        <v>22</v>
      </c>
      <c r="P134" s="43" t="s">
        <v>23</v>
      </c>
      <c r="Q134" s="13"/>
      <c r="R134" s="13"/>
    </row>
    <row r="135" spans="1:19" ht="15.75" customHeight="1" x14ac:dyDescent="0.2">
      <c r="A135" s="13" t="s">
        <v>221</v>
      </c>
      <c r="B135" s="13" t="s">
        <v>18</v>
      </c>
      <c r="C135" s="13" t="s">
        <v>221</v>
      </c>
      <c r="D135" s="13" t="s">
        <v>19</v>
      </c>
      <c r="E135" s="13" t="s">
        <v>22</v>
      </c>
      <c r="F135" s="42" t="s">
        <v>25</v>
      </c>
      <c r="G135" s="13" t="s">
        <v>22</v>
      </c>
      <c r="H135" s="42" t="s">
        <v>25</v>
      </c>
      <c r="I135" s="13" t="s">
        <v>22</v>
      </c>
      <c r="J135" s="42" t="s">
        <v>25</v>
      </c>
      <c r="K135" s="13" t="s">
        <v>22</v>
      </c>
      <c r="L135" s="42" t="s">
        <v>25</v>
      </c>
      <c r="M135" s="13" t="s">
        <v>22</v>
      </c>
      <c r="N135" s="42" t="s">
        <v>345</v>
      </c>
      <c r="O135" s="13" t="s">
        <v>22</v>
      </c>
      <c r="P135" s="14" t="s">
        <v>345</v>
      </c>
      <c r="Q135" s="13" t="s">
        <v>214</v>
      </c>
      <c r="R135" s="13"/>
    </row>
    <row r="136" spans="1:19" ht="15.75" customHeight="1" x14ac:dyDescent="0.2">
      <c r="A136" s="13" t="s">
        <v>222</v>
      </c>
      <c r="B136" s="13" t="s">
        <v>18</v>
      </c>
      <c r="C136" s="13" t="s">
        <v>222</v>
      </c>
      <c r="D136" s="13" t="s">
        <v>22</v>
      </c>
      <c r="E136" s="13" t="s">
        <v>22</v>
      </c>
      <c r="F136" s="42" t="s">
        <v>23</v>
      </c>
      <c r="G136" s="13" t="s">
        <v>22</v>
      </c>
      <c r="H136" s="42" t="s">
        <v>23</v>
      </c>
      <c r="I136" s="13" t="s">
        <v>22</v>
      </c>
      <c r="J136" s="42" t="s">
        <v>23</v>
      </c>
      <c r="K136" s="13" t="s">
        <v>22</v>
      </c>
      <c r="L136" s="42" t="s">
        <v>23</v>
      </c>
      <c r="M136" s="13" t="s">
        <v>22</v>
      </c>
      <c r="N136" s="42" t="s">
        <v>23</v>
      </c>
      <c r="O136" s="13" t="s">
        <v>22</v>
      </c>
      <c r="P136" s="43" t="s">
        <v>23</v>
      </c>
      <c r="Q136" s="13"/>
      <c r="R136" s="13"/>
    </row>
    <row r="137" spans="1:19" ht="15.75" customHeight="1" x14ac:dyDescent="0.2">
      <c r="A137" s="13" t="s">
        <v>223</v>
      </c>
      <c r="B137" s="13" t="s">
        <v>18</v>
      </c>
      <c r="C137" s="13" t="s">
        <v>223</v>
      </c>
      <c r="D137" s="13" t="s">
        <v>19</v>
      </c>
      <c r="E137" s="13" t="s">
        <v>22</v>
      </c>
      <c r="F137" s="42" t="s">
        <v>25</v>
      </c>
      <c r="G137" s="13" t="s">
        <v>22</v>
      </c>
      <c r="H137" s="42" t="s">
        <v>25</v>
      </c>
      <c r="I137" s="13" t="s">
        <v>22</v>
      </c>
      <c r="J137" s="42" t="s">
        <v>25</v>
      </c>
      <c r="K137" s="13" t="s">
        <v>22</v>
      </c>
      <c r="L137" s="42" t="s">
        <v>25</v>
      </c>
      <c r="M137" s="13" t="s">
        <v>22</v>
      </c>
      <c r="N137" s="42" t="s">
        <v>345</v>
      </c>
      <c r="O137" s="13" t="s">
        <v>22</v>
      </c>
      <c r="P137" s="14" t="s">
        <v>345</v>
      </c>
      <c r="Q137" s="13" t="s">
        <v>224</v>
      </c>
      <c r="R137" s="13"/>
    </row>
    <row r="138" spans="1:19" ht="15.75" customHeight="1" x14ac:dyDescent="0.2">
      <c r="A138" s="13" t="s">
        <v>225</v>
      </c>
      <c r="B138" s="13" t="s">
        <v>18</v>
      </c>
      <c r="C138" s="13" t="s">
        <v>225</v>
      </c>
      <c r="D138" s="13" t="s">
        <v>22</v>
      </c>
      <c r="E138" s="13" t="s">
        <v>22</v>
      </c>
      <c r="F138" s="42" t="s">
        <v>23</v>
      </c>
      <c r="G138" s="13" t="s">
        <v>22</v>
      </c>
      <c r="H138" s="42" t="s">
        <v>23</v>
      </c>
      <c r="I138" s="13" t="s">
        <v>22</v>
      </c>
      <c r="J138" s="42" t="s">
        <v>23</v>
      </c>
      <c r="K138" s="13" t="s">
        <v>22</v>
      </c>
      <c r="L138" s="42" t="s">
        <v>23</v>
      </c>
      <c r="M138" s="13" t="s">
        <v>22</v>
      </c>
      <c r="N138" s="42" t="s">
        <v>23</v>
      </c>
      <c r="O138" s="13" t="s">
        <v>22</v>
      </c>
      <c r="P138" s="43" t="s">
        <v>23</v>
      </c>
      <c r="Q138" s="13"/>
      <c r="R138" s="13"/>
    </row>
    <row r="139" spans="1:19" ht="15.75" customHeight="1" x14ac:dyDescent="0.2">
      <c r="A139" s="13" t="s">
        <v>226</v>
      </c>
      <c r="B139" s="13" t="s">
        <v>18</v>
      </c>
      <c r="C139" s="13" t="s">
        <v>226</v>
      </c>
      <c r="D139" s="13" t="s">
        <v>19</v>
      </c>
      <c r="E139" s="13" t="s">
        <v>22</v>
      </c>
      <c r="F139" s="42" t="s">
        <v>25</v>
      </c>
      <c r="G139" s="13" t="s">
        <v>22</v>
      </c>
      <c r="H139" s="42" t="s">
        <v>25</v>
      </c>
      <c r="I139" s="13" t="s">
        <v>22</v>
      </c>
      <c r="J139" s="42" t="s">
        <v>25</v>
      </c>
      <c r="K139" s="13" t="s">
        <v>22</v>
      </c>
      <c r="L139" s="42" t="s">
        <v>25</v>
      </c>
      <c r="M139" s="13" t="s">
        <v>22</v>
      </c>
      <c r="N139" s="42" t="s">
        <v>345</v>
      </c>
      <c r="O139" s="13" t="s">
        <v>22</v>
      </c>
      <c r="P139" s="14" t="s">
        <v>345</v>
      </c>
      <c r="Q139" s="13"/>
      <c r="R139" s="13"/>
    </row>
    <row r="140" spans="1:19" ht="15.75" customHeight="1" x14ac:dyDescent="0.2">
      <c r="A140" s="13" t="s">
        <v>227</v>
      </c>
      <c r="B140" s="13" t="s">
        <v>116</v>
      </c>
      <c r="C140" s="13" t="s">
        <v>227</v>
      </c>
      <c r="D140" s="13" t="s">
        <v>22</v>
      </c>
      <c r="E140" s="13" t="s">
        <v>22</v>
      </c>
      <c r="F140" s="42" t="s">
        <v>23</v>
      </c>
      <c r="G140" s="13" t="s">
        <v>22</v>
      </c>
      <c r="H140" s="42" t="s">
        <v>23</v>
      </c>
      <c r="I140" s="13" t="s">
        <v>22</v>
      </c>
      <c r="J140" s="42" t="s">
        <v>23</v>
      </c>
      <c r="K140" s="13" t="s">
        <v>22</v>
      </c>
      <c r="L140" s="42" t="s">
        <v>23</v>
      </c>
      <c r="M140" s="13" t="s">
        <v>22</v>
      </c>
      <c r="N140" s="42" t="s">
        <v>23</v>
      </c>
      <c r="O140" s="13" t="s">
        <v>22</v>
      </c>
      <c r="P140" s="43" t="s">
        <v>23</v>
      </c>
      <c r="Q140" s="13"/>
      <c r="R140" s="13"/>
    </row>
    <row r="141" spans="1:19" ht="15.75" customHeight="1" x14ac:dyDescent="0.2">
      <c r="A141" s="13" t="s">
        <v>228</v>
      </c>
      <c r="B141" s="13" t="s">
        <v>18</v>
      </c>
      <c r="C141" s="13"/>
      <c r="D141" s="13" t="s">
        <v>22</v>
      </c>
      <c r="E141" s="13" t="s">
        <v>22</v>
      </c>
      <c r="F141" s="42" t="s">
        <v>23</v>
      </c>
      <c r="G141" s="13" t="s">
        <v>22</v>
      </c>
      <c r="H141" s="42" t="s">
        <v>23</v>
      </c>
      <c r="I141" s="13" t="s">
        <v>22</v>
      </c>
      <c r="J141" s="42" t="s">
        <v>23</v>
      </c>
      <c r="K141" s="13" t="s">
        <v>22</v>
      </c>
      <c r="L141" s="42" t="s">
        <v>23</v>
      </c>
      <c r="M141" s="13" t="s">
        <v>22</v>
      </c>
      <c r="N141" s="42" t="s">
        <v>23</v>
      </c>
      <c r="O141" s="13" t="s">
        <v>22</v>
      </c>
      <c r="P141" s="22" t="s">
        <v>23</v>
      </c>
      <c r="Q141" s="13"/>
      <c r="R141" s="13"/>
    </row>
    <row r="142" spans="1:19" ht="15.75" customHeight="1" x14ac:dyDescent="0.2">
      <c r="A142" s="13" t="s">
        <v>229</v>
      </c>
      <c r="B142" s="13" t="s">
        <v>144</v>
      </c>
      <c r="C142" s="13" t="s">
        <v>229</v>
      </c>
      <c r="D142" s="13" t="s">
        <v>22</v>
      </c>
      <c r="E142" s="13" t="s">
        <v>22</v>
      </c>
      <c r="F142" s="42" t="s">
        <v>23</v>
      </c>
      <c r="G142" s="13" t="s">
        <v>22</v>
      </c>
      <c r="H142" s="42" t="s">
        <v>23</v>
      </c>
      <c r="I142" s="13" t="s">
        <v>22</v>
      </c>
      <c r="J142" s="42" t="s">
        <v>23</v>
      </c>
      <c r="K142" s="13" t="s">
        <v>22</v>
      </c>
      <c r="L142" s="42" t="s">
        <v>23</v>
      </c>
      <c r="M142" s="13" t="s">
        <v>22</v>
      </c>
      <c r="N142" s="42" t="s">
        <v>23</v>
      </c>
      <c r="O142" s="13" t="s">
        <v>22</v>
      </c>
      <c r="P142" s="43" t="s">
        <v>23</v>
      </c>
      <c r="Q142" s="13"/>
      <c r="R142" s="13"/>
    </row>
    <row r="143" spans="1:19" ht="15.75" customHeight="1" x14ac:dyDescent="0.2">
      <c r="A143" s="13" t="s">
        <v>230</v>
      </c>
      <c r="B143" s="13" t="s">
        <v>144</v>
      </c>
      <c r="C143" s="13" t="s">
        <v>230</v>
      </c>
      <c r="D143" s="13" t="s">
        <v>19</v>
      </c>
      <c r="E143" s="13" t="s">
        <v>19</v>
      </c>
      <c r="F143" s="42" t="s">
        <v>23</v>
      </c>
      <c r="G143" s="13" t="s">
        <v>19</v>
      </c>
      <c r="H143" s="42" t="s">
        <v>23</v>
      </c>
      <c r="I143" s="13" t="s">
        <v>19</v>
      </c>
      <c r="J143" s="42" t="s">
        <v>23</v>
      </c>
      <c r="K143" s="13" t="s">
        <v>19</v>
      </c>
      <c r="L143" s="42" t="s">
        <v>23</v>
      </c>
      <c r="M143" s="13" t="s">
        <v>19</v>
      </c>
      <c r="N143" s="42" t="s">
        <v>23</v>
      </c>
      <c r="O143" s="13" t="s">
        <v>19</v>
      </c>
      <c r="P143" s="22" t="s">
        <v>23</v>
      </c>
      <c r="Q143" s="13"/>
      <c r="R143" s="13"/>
    </row>
    <row r="144" spans="1:19" ht="15.75" customHeight="1" x14ac:dyDescent="0.2">
      <c r="A144" s="13" t="s">
        <v>231</v>
      </c>
      <c r="B144" s="13" t="s">
        <v>144</v>
      </c>
      <c r="C144" s="13" t="s">
        <v>231</v>
      </c>
      <c r="D144" s="13" t="s">
        <v>22</v>
      </c>
      <c r="E144" s="13" t="s">
        <v>22</v>
      </c>
      <c r="F144" s="42" t="s">
        <v>23</v>
      </c>
      <c r="G144" s="13" t="s">
        <v>22</v>
      </c>
      <c r="H144" s="42" t="s">
        <v>23</v>
      </c>
      <c r="I144" s="13" t="s">
        <v>22</v>
      </c>
      <c r="J144" s="42" t="s">
        <v>23</v>
      </c>
      <c r="K144" s="13" t="s">
        <v>22</v>
      </c>
      <c r="L144" s="42" t="s">
        <v>23</v>
      </c>
      <c r="M144" s="13" t="s">
        <v>22</v>
      </c>
      <c r="N144" s="42" t="s">
        <v>23</v>
      </c>
      <c r="O144" s="13" t="s">
        <v>22</v>
      </c>
      <c r="P144" s="43" t="s">
        <v>23</v>
      </c>
      <c r="Q144" s="13"/>
      <c r="R144" s="13"/>
    </row>
    <row r="145" spans="1:38" ht="15.75" customHeight="1" x14ac:dyDescent="0.2">
      <c r="A145" s="13" t="s">
        <v>232</v>
      </c>
      <c r="B145" s="13" t="s">
        <v>144</v>
      </c>
      <c r="C145" s="13" t="s">
        <v>232</v>
      </c>
      <c r="D145" s="13" t="s">
        <v>19</v>
      </c>
      <c r="E145" s="13" t="s">
        <v>19</v>
      </c>
      <c r="F145" s="42" t="s">
        <v>23</v>
      </c>
      <c r="G145" s="13" t="s">
        <v>19</v>
      </c>
      <c r="H145" s="42" t="s">
        <v>23</v>
      </c>
      <c r="I145" s="13" t="s">
        <v>19</v>
      </c>
      <c r="J145" s="42" t="s">
        <v>23</v>
      </c>
      <c r="K145" s="13" t="s">
        <v>19</v>
      </c>
      <c r="L145" s="42" t="s">
        <v>23</v>
      </c>
      <c r="M145" s="13" t="s">
        <v>19</v>
      </c>
      <c r="N145" s="42" t="s">
        <v>23</v>
      </c>
      <c r="O145" s="13" t="s">
        <v>19</v>
      </c>
      <c r="P145" s="22" t="s">
        <v>23</v>
      </c>
      <c r="Q145" s="13"/>
      <c r="R145" s="13"/>
    </row>
    <row r="146" spans="1:38" ht="15.75" customHeight="1" x14ac:dyDescent="0.2">
      <c r="A146" s="13" t="s">
        <v>233</v>
      </c>
      <c r="B146" s="13" t="s">
        <v>144</v>
      </c>
      <c r="C146" s="13" t="s">
        <v>233</v>
      </c>
      <c r="D146" s="13" t="s">
        <v>22</v>
      </c>
      <c r="E146" s="13" t="s">
        <v>22</v>
      </c>
      <c r="F146" s="42" t="s">
        <v>23</v>
      </c>
      <c r="G146" s="13" t="s">
        <v>22</v>
      </c>
      <c r="H146" s="42" t="s">
        <v>23</v>
      </c>
      <c r="I146" s="13" t="s">
        <v>22</v>
      </c>
      <c r="J146" s="42" t="s">
        <v>23</v>
      </c>
      <c r="K146" s="13" t="s">
        <v>22</v>
      </c>
      <c r="L146" s="42" t="s">
        <v>23</v>
      </c>
      <c r="M146" s="13" t="s">
        <v>22</v>
      </c>
      <c r="N146" s="42" t="s">
        <v>23</v>
      </c>
      <c r="O146" s="13" t="s">
        <v>22</v>
      </c>
      <c r="P146" s="22" t="s">
        <v>23</v>
      </c>
      <c r="Q146" s="13"/>
      <c r="R146" s="13"/>
    </row>
    <row r="147" spans="1:38" ht="15.75" customHeight="1" x14ac:dyDescent="0.2">
      <c r="A147" s="13" t="s">
        <v>234</v>
      </c>
      <c r="B147" s="13" t="s">
        <v>144</v>
      </c>
      <c r="C147" s="13" t="s">
        <v>234</v>
      </c>
      <c r="D147" s="13" t="s">
        <v>19</v>
      </c>
      <c r="E147" s="13" t="s">
        <v>19</v>
      </c>
      <c r="F147" s="42" t="s">
        <v>23</v>
      </c>
      <c r="G147" s="13" t="s">
        <v>22</v>
      </c>
      <c r="H147" s="42" t="s">
        <v>25</v>
      </c>
      <c r="I147" s="13" t="s">
        <v>19</v>
      </c>
      <c r="J147" s="42" t="s">
        <v>23</v>
      </c>
      <c r="K147" s="13" t="s">
        <v>22</v>
      </c>
      <c r="L147" s="42" t="s">
        <v>25</v>
      </c>
      <c r="M147" s="13" t="s">
        <v>22</v>
      </c>
      <c r="N147" s="42" t="s">
        <v>345</v>
      </c>
      <c r="O147" s="13" t="s">
        <v>22</v>
      </c>
      <c r="P147" s="14" t="s">
        <v>345</v>
      </c>
      <c r="Q147" s="13"/>
      <c r="R147" s="13"/>
    </row>
    <row r="148" spans="1:38" ht="15.75" customHeight="1" x14ac:dyDescent="0.2">
      <c r="A148" s="13" t="s">
        <v>235</v>
      </c>
      <c r="B148" s="13" t="s">
        <v>18</v>
      </c>
      <c r="C148" s="13" t="s">
        <v>235</v>
      </c>
      <c r="D148" s="13" t="s">
        <v>22</v>
      </c>
      <c r="E148" s="13" t="s">
        <v>22</v>
      </c>
      <c r="F148" s="42" t="s">
        <v>23</v>
      </c>
      <c r="G148" s="13" t="s">
        <v>22</v>
      </c>
      <c r="H148" s="42" t="s">
        <v>23</v>
      </c>
      <c r="I148" s="13" t="s">
        <v>22</v>
      </c>
      <c r="J148" s="42" t="s">
        <v>23</v>
      </c>
      <c r="K148" s="13" t="s">
        <v>22</v>
      </c>
      <c r="L148" s="42" t="s">
        <v>23</v>
      </c>
      <c r="M148" s="13" t="s">
        <v>22</v>
      </c>
      <c r="N148" s="42" t="s">
        <v>23</v>
      </c>
      <c r="O148" s="13" t="s">
        <v>22</v>
      </c>
      <c r="P148" s="43" t="s">
        <v>23</v>
      </c>
      <c r="Q148" s="13" t="s">
        <v>236</v>
      </c>
      <c r="R148" s="13"/>
    </row>
    <row r="149" spans="1:38" ht="15.75" customHeight="1" x14ac:dyDescent="0.2">
      <c r="A149" s="13" t="s">
        <v>237</v>
      </c>
      <c r="B149" s="13" t="s">
        <v>18</v>
      </c>
      <c r="C149" s="13" t="s">
        <v>237</v>
      </c>
      <c r="D149" s="13" t="s">
        <v>19</v>
      </c>
      <c r="E149" s="13" t="s">
        <v>19</v>
      </c>
      <c r="F149" s="42" t="s">
        <v>23</v>
      </c>
      <c r="G149" s="13" t="s">
        <v>19</v>
      </c>
      <c r="H149" s="42" t="s">
        <v>23</v>
      </c>
      <c r="I149" s="13" t="s">
        <v>19</v>
      </c>
      <c r="J149" s="42" t="s">
        <v>23</v>
      </c>
      <c r="K149" s="13" t="s">
        <v>19</v>
      </c>
      <c r="L149" s="42" t="s">
        <v>23</v>
      </c>
      <c r="M149" s="13" t="s">
        <v>19</v>
      </c>
      <c r="N149" s="42" t="s">
        <v>23</v>
      </c>
      <c r="O149" s="13" t="s">
        <v>19</v>
      </c>
      <c r="P149" s="22" t="s">
        <v>23</v>
      </c>
      <c r="Q149" s="13" t="s">
        <v>236</v>
      </c>
      <c r="R149" s="13"/>
    </row>
    <row r="150" spans="1:38" ht="15.75" customHeight="1" x14ac:dyDescent="0.2">
      <c r="A150" s="13" t="s">
        <v>238</v>
      </c>
      <c r="B150" s="13" t="s">
        <v>116</v>
      </c>
      <c r="C150" s="13" t="s">
        <v>238</v>
      </c>
      <c r="D150" s="13" t="s">
        <v>22</v>
      </c>
      <c r="E150" s="13" t="s">
        <v>22</v>
      </c>
      <c r="F150" s="42" t="s">
        <v>23</v>
      </c>
      <c r="G150" s="13" t="s">
        <v>22</v>
      </c>
      <c r="H150" s="42" t="s">
        <v>23</v>
      </c>
      <c r="I150" s="13" t="s">
        <v>22</v>
      </c>
      <c r="J150" s="42" t="s">
        <v>23</v>
      </c>
      <c r="K150" s="13" t="s">
        <v>22</v>
      </c>
      <c r="L150" s="42" t="s">
        <v>23</v>
      </c>
      <c r="M150" s="13" t="s">
        <v>22</v>
      </c>
      <c r="N150" s="42" t="s">
        <v>23</v>
      </c>
      <c r="O150" s="13" t="s">
        <v>22</v>
      </c>
      <c r="P150" s="43" t="s">
        <v>23</v>
      </c>
      <c r="Q150" s="13" t="s">
        <v>236</v>
      </c>
      <c r="R150" s="13"/>
    </row>
    <row r="151" spans="1:38" ht="15.75" customHeight="1" x14ac:dyDescent="0.2">
      <c r="A151" s="13" t="s">
        <v>239</v>
      </c>
      <c r="B151" s="13" t="s">
        <v>116</v>
      </c>
      <c r="C151" s="13" t="s">
        <v>239</v>
      </c>
      <c r="D151" s="13" t="s">
        <v>19</v>
      </c>
      <c r="E151" s="13" t="s">
        <v>19</v>
      </c>
      <c r="F151" s="42" t="s">
        <v>23</v>
      </c>
      <c r="G151" s="13" t="s">
        <v>19</v>
      </c>
      <c r="H151" s="42" t="s">
        <v>23</v>
      </c>
      <c r="I151" s="13" t="s">
        <v>19</v>
      </c>
      <c r="J151" s="42" t="s">
        <v>23</v>
      </c>
      <c r="K151" s="13" t="s">
        <v>19</v>
      </c>
      <c r="L151" s="42" t="s">
        <v>23</v>
      </c>
      <c r="M151" s="13" t="s">
        <v>19</v>
      </c>
      <c r="N151" s="42" t="s">
        <v>23</v>
      </c>
      <c r="O151" s="13" t="s">
        <v>19</v>
      </c>
      <c r="P151" s="22" t="s">
        <v>23</v>
      </c>
      <c r="Q151" s="13" t="s">
        <v>236</v>
      </c>
      <c r="R151" s="13"/>
    </row>
    <row r="152" spans="1:38" ht="15.75" customHeight="1" x14ac:dyDescent="0.2">
      <c r="A152" s="13" t="s">
        <v>240</v>
      </c>
      <c r="B152" s="13" t="s">
        <v>116</v>
      </c>
      <c r="C152" s="13" t="s">
        <v>240</v>
      </c>
      <c r="D152" s="13" t="s">
        <v>22</v>
      </c>
      <c r="E152" s="13" t="s">
        <v>22</v>
      </c>
      <c r="F152" s="42" t="s">
        <v>23</v>
      </c>
      <c r="G152" s="13" t="s">
        <v>22</v>
      </c>
      <c r="H152" s="42" t="s">
        <v>23</v>
      </c>
      <c r="I152" s="13" t="s">
        <v>22</v>
      </c>
      <c r="J152" s="42" t="s">
        <v>23</v>
      </c>
      <c r="K152" s="13" t="s">
        <v>22</v>
      </c>
      <c r="L152" s="42" t="s">
        <v>23</v>
      </c>
      <c r="M152" s="13" t="s">
        <v>22</v>
      </c>
      <c r="N152" s="42" t="s">
        <v>23</v>
      </c>
      <c r="O152" s="13" t="s">
        <v>22</v>
      </c>
      <c r="P152" s="43" t="s">
        <v>23</v>
      </c>
      <c r="Q152" s="13" t="s">
        <v>236</v>
      </c>
      <c r="R152" s="13"/>
    </row>
    <row r="153" spans="1:38" ht="15.75" customHeight="1" x14ac:dyDescent="0.2">
      <c r="A153" s="13" t="s">
        <v>241</v>
      </c>
      <c r="B153" s="13" t="s">
        <v>116</v>
      </c>
      <c r="C153" s="13" t="s">
        <v>241</v>
      </c>
      <c r="D153" s="13" t="s">
        <v>19</v>
      </c>
      <c r="E153" s="13" t="s">
        <v>19</v>
      </c>
      <c r="F153" s="42" t="s">
        <v>23</v>
      </c>
      <c r="G153" s="13" t="s">
        <v>19</v>
      </c>
      <c r="H153" s="42" t="s">
        <v>23</v>
      </c>
      <c r="I153" s="13" t="s">
        <v>19</v>
      </c>
      <c r="J153" s="42" t="s">
        <v>23</v>
      </c>
      <c r="K153" s="13" t="s">
        <v>19</v>
      </c>
      <c r="L153" s="42" t="s">
        <v>23</v>
      </c>
      <c r="M153" s="13" t="s">
        <v>19</v>
      </c>
      <c r="N153" s="42" t="s">
        <v>23</v>
      </c>
      <c r="O153" s="13" t="s">
        <v>19</v>
      </c>
      <c r="P153" s="22" t="s">
        <v>23</v>
      </c>
      <c r="Q153" s="13" t="s">
        <v>236</v>
      </c>
      <c r="R153" s="13"/>
    </row>
    <row r="154" spans="1:38" ht="15.75" customHeight="1" x14ac:dyDescent="0.2">
      <c r="A154" s="13" t="s">
        <v>242</v>
      </c>
      <c r="B154" s="13" t="s">
        <v>243</v>
      </c>
      <c r="C154" s="13" t="s">
        <v>242</v>
      </c>
      <c r="D154" s="13" t="s">
        <v>22</v>
      </c>
      <c r="E154" s="13" t="s">
        <v>19</v>
      </c>
      <c r="F154" s="49" t="s">
        <v>25</v>
      </c>
      <c r="G154" s="13" t="s">
        <v>22</v>
      </c>
      <c r="H154" s="43" t="s">
        <v>23</v>
      </c>
      <c r="I154" s="13" t="s">
        <v>22</v>
      </c>
      <c r="J154" s="43" t="s">
        <v>23</v>
      </c>
      <c r="K154" s="13" t="s">
        <v>22</v>
      </c>
      <c r="L154" s="43" t="s">
        <v>23</v>
      </c>
      <c r="M154" s="13" t="s">
        <v>22</v>
      </c>
      <c r="N154" s="49" t="s">
        <v>23</v>
      </c>
      <c r="O154" s="13" t="s">
        <v>19</v>
      </c>
      <c r="P154" s="43" t="s">
        <v>25</v>
      </c>
      <c r="Q154" s="13" t="s">
        <v>236</v>
      </c>
      <c r="S154" t="s">
        <v>244</v>
      </c>
    </row>
    <row r="155" spans="1:38" ht="15.75" customHeight="1" x14ac:dyDescent="0.2">
      <c r="A155" s="13" t="s">
        <v>245</v>
      </c>
      <c r="B155" s="13" t="s">
        <v>116</v>
      </c>
      <c r="C155" s="13" t="s">
        <v>245</v>
      </c>
      <c r="D155" s="13" t="s">
        <v>19</v>
      </c>
      <c r="E155" s="13" t="s">
        <v>19</v>
      </c>
      <c r="F155" s="43" t="s">
        <v>23</v>
      </c>
      <c r="G155" s="13" t="s">
        <v>19</v>
      </c>
      <c r="H155" s="43" t="s">
        <v>23</v>
      </c>
      <c r="I155" s="13" t="s">
        <v>19</v>
      </c>
      <c r="J155" s="43" t="s">
        <v>23</v>
      </c>
      <c r="K155" s="13" t="s">
        <v>19</v>
      </c>
      <c r="L155" s="43" t="s">
        <v>23</v>
      </c>
      <c r="M155" s="13" t="s">
        <v>19</v>
      </c>
      <c r="N155" s="42" t="s">
        <v>23</v>
      </c>
      <c r="O155" s="13" t="s">
        <v>19</v>
      </c>
      <c r="P155" s="22" t="s">
        <v>23</v>
      </c>
      <c r="Q155" s="13" t="s">
        <v>236</v>
      </c>
      <c r="S155" t="s">
        <v>246</v>
      </c>
    </row>
    <row r="156" spans="1:38" ht="15.75" customHeight="1" x14ac:dyDescent="0.2">
      <c r="A156" s="13" t="s">
        <v>247</v>
      </c>
      <c r="B156" s="13" t="s">
        <v>18</v>
      </c>
      <c r="C156" s="13"/>
      <c r="D156" s="13" t="s">
        <v>22</v>
      </c>
      <c r="E156" s="13" t="s">
        <v>22</v>
      </c>
      <c r="F156" s="43" t="s">
        <v>23</v>
      </c>
      <c r="G156" s="13" t="s">
        <v>22</v>
      </c>
      <c r="H156" s="43" t="s">
        <v>23</v>
      </c>
      <c r="I156" s="13" t="s">
        <v>22</v>
      </c>
      <c r="J156" s="43" t="s">
        <v>23</v>
      </c>
      <c r="K156" s="13" t="s">
        <v>22</v>
      </c>
      <c r="L156" s="43" t="s">
        <v>23</v>
      </c>
      <c r="M156" s="13" t="s">
        <v>22</v>
      </c>
      <c r="N156" s="43" t="s">
        <v>23</v>
      </c>
      <c r="O156" s="13" t="s">
        <v>22</v>
      </c>
      <c r="P156" s="41" t="s">
        <v>23</v>
      </c>
      <c r="Q156" s="13" t="s">
        <v>236</v>
      </c>
      <c r="R156" s="13"/>
    </row>
    <row r="157" spans="1:38" ht="15.75" customHeight="1" x14ac:dyDescent="0.2">
      <c r="A157" s="13" t="s">
        <v>248</v>
      </c>
      <c r="B157" s="13" t="s">
        <v>18</v>
      </c>
      <c r="C157" s="13"/>
      <c r="D157" s="13" t="s">
        <v>22</v>
      </c>
      <c r="E157" s="13" t="s">
        <v>22</v>
      </c>
      <c r="F157" s="43" t="s">
        <v>23</v>
      </c>
      <c r="G157" s="13" t="s">
        <v>22</v>
      </c>
      <c r="H157" s="43" t="s">
        <v>23</v>
      </c>
      <c r="I157" s="13" t="s">
        <v>22</v>
      </c>
      <c r="J157" s="43" t="s">
        <v>23</v>
      </c>
      <c r="K157" s="13" t="s">
        <v>22</v>
      </c>
      <c r="L157" s="43" t="s">
        <v>23</v>
      </c>
      <c r="M157" s="13" t="s">
        <v>22</v>
      </c>
      <c r="N157" s="43" t="s">
        <v>23</v>
      </c>
      <c r="O157" s="13" t="s">
        <v>22</v>
      </c>
      <c r="P157" s="13" t="s">
        <v>23</v>
      </c>
      <c r="Q157" s="13" t="s">
        <v>236</v>
      </c>
    </row>
    <row r="158" spans="1:38" ht="15.75" customHeight="1" x14ac:dyDescent="0.2">
      <c r="A158" s="13" t="s">
        <v>249</v>
      </c>
      <c r="B158" s="13" t="s">
        <v>18</v>
      </c>
      <c r="C158" s="13" t="s">
        <v>249</v>
      </c>
      <c r="D158" s="13" t="s">
        <v>22</v>
      </c>
      <c r="E158" s="13" t="s">
        <v>22</v>
      </c>
      <c r="F158" s="43" t="s">
        <v>23</v>
      </c>
      <c r="G158" s="13" t="s">
        <v>22</v>
      </c>
      <c r="H158" s="43" t="s">
        <v>23</v>
      </c>
      <c r="I158" s="13" t="s">
        <v>22</v>
      </c>
      <c r="J158" s="43" t="s">
        <v>23</v>
      </c>
      <c r="K158" s="13" t="s">
        <v>22</v>
      </c>
      <c r="L158" s="43" t="s">
        <v>23</v>
      </c>
      <c r="M158" s="13" t="s">
        <v>22</v>
      </c>
      <c r="N158" s="43" t="s">
        <v>23</v>
      </c>
      <c r="O158" s="13" t="s">
        <v>22</v>
      </c>
      <c r="P158" s="41" t="s">
        <v>23</v>
      </c>
      <c r="Q158" s="13" t="s">
        <v>236</v>
      </c>
    </row>
    <row r="159" spans="1:38" ht="15.75" customHeight="1" x14ac:dyDescent="0.2">
      <c r="A159" s="41" t="s">
        <v>250</v>
      </c>
      <c r="B159" s="41" t="s">
        <v>18</v>
      </c>
      <c r="C159" s="41" t="s">
        <v>250</v>
      </c>
      <c r="D159" s="41" t="s">
        <v>19</v>
      </c>
      <c r="E159" s="41" t="s">
        <v>19</v>
      </c>
      <c r="F159" s="43" t="s">
        <v>23</v>
      </c>
      <c r="G159" s="41" t="s">
        <v>19</v>
      </c>
      <c r="H159" s="43" t="s">
        <v>23</v>
      </c>
      <c r="I159" s="41" t="s">
        <v>19</v>
      </c>
      <c r="J159" s="43" t="s">
        <v>23</v>
      </c>
      <c r="K159" s="41" t="s">
        <v>19</v>
      </c>
      <c r="L159" s="43" t="s">
        <v>23</v>
      </c>
      <c r="M159" s="41" t="s">
        <v>19</v>
      </c>
      <c r="N159" s="42" t="s">
        <v>23</v>
      </c>
      <c r="O159" s="41" t="s">
        <v>19</v>
      </c>
      <c r="P159" s="43" t="s">
        <v>23</v>
      </c>
      <c r="Q159" s="41" t="s">
        <v>236</v>
      </c>
      <c r="R159" s="44"/>
      <c r="T159" s="44"/>
      <c r="U159" s="44"/>
      <c r="V159" s="44"/>
      <c r="W159" s="44"/>
      <c r="X159" s="44"/>
      <c r="Y159" s="44"/>
      <c r="Z159" s="44"/>
      <c r="AA159" s="44"/>
      <c r="AB159" s="44"/>
      <c r="AC159" s="44"/>
      <c r="AD159" s="44"/>
      <c r="AE159" s="44"/>
      <c r="AF159" s="44"/>
      <c r="AG159" s="44"/>
      <c r="AH159" s="44"/>
      <c r="AI159" s="44"/>
      <c r="AJ159" s="44"/>
      <c r="AK159" s="44"/>
      <c r="AL159" s="44"/>
    </row>
    <row r="160" spans="1:38" ht="15.75" customHeight="1" x14ac:dyDescent="0.2">
      <c r="A160" s="13" t="s">
        <v>251</v>
      </c>
      <c r="B160" s="13" t="s">
        <v>116</v>
      </c>
      <c r="C160" s="13" t="s">
        <v>251</v>
      </c>
      <c r="D160" s="13" t="s">
        <v>22</v>
      </c>
      <c r="E160" s="13" t="s">
        <v>22</v>
      </c>
      <c r="F160" s="22" t="s">
        <v>23</v>
      </c>
      <c r="G160" s="13" t="s">
        <v>22</v>
      </c>
      <c r="H160" s="22" t="s">
        <v>23</v>
      </c>
      <c r="I160" s="13" t="s">
        <v>22</v>
      </c>
      <c r="J160" s="22" t="s">
        <v>23</v>
      </c>
      <c r="K160" s="13" t="s">
        <v>22</v>
      </c>
      <c r="L160" s="22" t="s">
        <v>23</v>
      </c>
      <c r="M160" s="13" t="s">
        <v>22</v>
      </c>
      <c r="N160" s="43" t="s">
        <v>23</v>
      </c>
      <c r="O160" s="13" t="s">
        <v>22</v>
      </c>
      <c r="P160" s="41" t="s">
        <v>23</v>
      </c>
      <c r="Q160" s="13" t="s">
        <v>236</v>
      </c>
    </row>
    <row r="161" spans="1:38" ht="15.75" customHeight="1" x14ac:dyDescent="0.2">
      <c r="A161" s="13" t="s">
        <v>252</v>
      </c>
      <c r="B161" s="13" t="s">
        <v>116</v>
      </c>
      <c r="C161" s="13" t="s">
        <v>252</v>
      </c>
      <c r="D161" s="13" t="s">
        <v>19</v>
      </c>
      <c r="E161" s="13" t="s">
        <v>19</v>
      </c>
      <c r="F161" s="22" t="s">
        <v>23</v>
      </c>
      <c r="G161" s="13" t="s">
        <v>19</v>
      </c>
      <c r="H161" s="22" t="s">
        <v>23</v>
      </c>
      <c r="I161" s="13" t="s">
        <v>19</v>
      </c>
      <c r="J161" s="22" t="s">
        <v>23</v>
      </c>
      <c r="K161" s="13" t="s">
        <v>19</v>
      </c>
      <c r="L161" s="22" t="s">
        <v>23</v>
      </c>
      <c r="M161" s="13" t="s">
        <v>19</v>
      </c>
      <c r="N161" s="16" t="s">
        <v>23</v>
      </c>
      <c r="O161" s="13" t="s">
        <v>19</v>
      </c>
      <c r="P161" s="22" t="s">
        <v>23</v>
      </c>
      <c r="Q161" s="13" t="s">
        <v>236</v>
      </c>
    </row>
    <row r="162" spans="1:38" ht="15.75" customHeight="1" x14ac:dyDescent="0.2">
      <c r="A162" s="13" t="s">
        <v>253</v>
      </c>
      <c r="B162" s="13" t="s">
        <v>18</v>
      </c>
      <c r="C162" s="13"/>
      <c r="D162" s="13" t="s">
        <v>22</v>
      </c>
      <c r="E162" s="13" t="s">
        <v>22</v>
      </c>
      <c r="F162" s="22" t="s">
        <v>23</v>
      </c>
      <c r="G162" s="13" t="s">
        <v>22</v>
      </c>
      <c r="H162" s="22" t="s">
        <v>23</v>
      </c>
      <c r="I162" s="13" t="s">
        <v>22</v>
      </c>
      <c r="J162" s="22" t="s">
        <v>23</v>
      </c>
      <c r="K162" s="13" t="s">
        <v>22</v>
      </c>
      <c r="L162" s="22" t="s">
        <v>23</v>
      </c>
      <c r="M162" s="13" t="s">
        <v>22</v>
      </c>
      <c r="N162" s="22" t="s">
        <v>23</v>
      </c>
      <c r="O162" s="13" t="s">
        <v>22</v>
      </c>
      <c r="P162" s="13" t="s">
        <v>23</v>
      </c>
      <c r="Q162" s="13" t="s">
        <v>236</v>
      </c>
    </row>
    <row r="163" spans="1:38" ht="15.75" customHeight="1" x14ac:dyDescent="0.2">
      <c r="A163" s="13" t="s">
        <v>254</v>
      </c>
      <c r="B163" s="13" t="s">
        <v>116</v>
      </c>
      <c r="C163" s="13" t="s">
        <v>254</v>
      </c>
      <c r="D163" s="13" t="s">
        <v>22</v>
      </c>
      <c r="E163" s="13" t="s">
        <v>22</v>
      </c>
      <c r="F163" s="22" t="s">
        <v>23</v>
      </c>
      <c r="G163" s="13" t="s">
        <v>22</v>
      </c>
      <c r="H163" s="22" t="s">
        <v>23</v>
      </c>
      <c r="I163" s="13" t="s">
        <v>22</v>
      </c>
      <c r="J163" s="22" t="s">
        <v>23</v>
      </c>
      <c r="K163" s="13" t="s">
        <v>22</v>
      </c>
      <c r="L163" s="22" t="s">
        <v>23</v>
      </c>
      <c r="M163" s="13" t="s">
        <v>22</v>
      </c>
      <c r="N163" s="22" t="s">
        <v>23</v>
      </c>
      <c r="O163" s="13" t="s">
        <v>22</v>
      </c>
      <c r="P163" s="13" t="s">
        <v>23</v>
      </c>
      <c r="Q163" s="13" t="s">
        <v>236</v>
      </c>
      <c r="R163" s="13"/>
    </row>
    <row r="164" spans="1:38" ht="15.75" customHeight="1" x14ac:dyDescent="0.2">
      <c r="A164" s="13" t="s">
        <v>255</v>
      </c>
      <c r="B164" s="13" t="s">
        <v>116</v>
      </c>
      <c r="C164" s="13" t="s">
        <v>255</v>
      </c>
      <c r="D164" s="13" t="s">
        <v>19</v>
      </c>
      <c r="E164" s="13" t="s">
        <v>19</v>
      </c>
      <c r="F164" s="22" t="s">
        <v>23</v>
      </c>
      <c r="G164" s="13" t="s">
        <v>19</v>
      </c>
      <c r="H164" s="22" t="s">
        <v>23</v>
      </c>
      <c r="I164" s="13" t="s">
        <v>19</v>
      </c>
      <c r="J164" s="22" t="s">
        <v>23</v>
      </c>
      <c r="K164" s="13" t="s">
        <v>19</v>
      </c>
      <c r="L164" s="22" t="s">
        <v>23</v>
      </c>
      <c r="M164" s="13" t="s">
        <v>19</v>
      </c>
      <c r="N164" s="42" t="s">
        <v>23</v>
      </c>
      <c r="O164" s="13" t="s">
        <v>19</v>
      </c>
      <c r="P164" s="43" t="s">
        <v>23</v>
      </c>
      <c r="Q164" s="13" t="s">
        <v>236</v>
      </c>
      <c r="R164" s="13"/>
    </row>
    <row r="165" spans="1:38" ht="15.75" customHeight="1" x14ac:dyDescent="0.2">
      <c r="A165" s="14" t="s">
        <v>256</v>
      </c>
      <c r="B165" s="14" t="s">
        <v>116</v>
      </c>
      <c r="C165" s="14" t="s">
        <v>254</v>
      </c>
      <c r="D165" s="14" t="s">
        <v>22</v>
      </c>
      <c r="E165" s="14" t="s">
        <v>19</v>
      </c>
      <c r="F165" s="14" t="s">
        <v>25</v>
      </c>
      <c r="G165" s="14" t="s">
        <v>19</v>
      </c>
      <c r="H165" s="14" t="s">
        <v>25</v>
      </c>
      <c r="I165" s="14" t="s">
        <v>19</v>
      </c>
      <c r="J165" s="14" t="s">
        <v>25</v>
      </c>
      <c r="K165" s="14" t="s">
        <v>19</v>
      </c>
      <c r="L165" s="14" t="s">
        <v>25</v>
      </c>
      <c r="M165" s="14" t="s">
        <v>19</v>
      </c>
      <c r="N165" s="14" t="s">
        <v>25</v>
      </c>
      <c r="O165" s="14" t="s">
        <v>19</v>
      </c>
      <c r="P165" s="14" t="s">
        <v>25</v>
      </c>
      <c r="Q165" s="14" t="s">
        <v>236</v>
      </c>
      <c r="R165" s="14" t="s">
        <v>257</v>
      </c>
      <c r="S165" s="15" t="s">
        <v>258</v>
      </c>
    </row>
    <row r="166" spans="1:38" ht="15.75" customHeight="1" x14ac:dyDescent="0.2">
      <c r="A166" s="13" t="s">
        <v>259</v>
      </c>
      <c r="B166" s="13" t="s">
        <v>116</v>
      </c>
      <c r="C166" s="13" t="s">
        <v>255</v>
      </c>
      <c r="D166" s="13" t="s">
        <v>19</v>
      </c>
      <c r="E166" s="13" t="s">
        <v>19</v>
      </c>
      <c r="F166" s="22" t="s">
        <v>23</v>
      </c>
      <c r="G166" s="13" t="s">
        <v>19</v>
      </c>
      <c r="H166" s="22" t="s">
        <v>23</v>
      </c>
      <c r="I166" s="13" t="s">
        <v>19</v>
      </c>
      <c r="J166" s="22" t="s">
        <v>23</v>
      </c>
      <c r="K166" s="13" t="s">
        <v>19</v>
      </c>
      <c r="L166" s="22" t="s">
        <v>23</v>
      </c>
      <c r="M166" s="13" t="s">
        <v>19</v>
      </c>
      <c r="N166" s="42" t="s">
        <v>23</v>
      </c>
      <c r="O166" s="13" t="s">
        <v>19</v>
      </c>
      <c r="P166" s="43" t="s">
        <v>23</v>
      </c>
      <c r="Q166" s="13" t="s">
        <v>236</v>
      </c>
      <c r="R166" s="13"/>
      <c r="S166" t="s">
        <v>258</v>
      </c>
    </row>
    <row r="167" spans="1:38" ht="15.75" customHeight="1" x14ac:dyDescent="0.2">
      <c r="A167" s="13" t="s">
        <v>260</v>
      </c>
      <c r="B167" s="13" t="s">
        <v>18</v>
      </c>
      <c r="C167" s="13" t="s">
        <v>260</v>
      </c>
      <c r="D167" s="13" t="s">
        <v>22</v>
      </c>
      <c r="E167" s="13" t="s">
        <v>22</v>
      </c>
      <c r="F167" s="22" t="s">
        <v>23</v>
      </c>
      <c r="G167" s="13" t="s">
        <v>22</v>
      </c>
      <c r="H167" s="22" t="s">
        <v>23</v>
      </c>
      <c r="I167" s="13" t="s">
        <v>22</v>
      </c>
      <c r="J167" s="22" t="s">
        <v>23</v>
      </c>
      <c r="K167" s="13" t="s">
        <v>22</v>
      </c>
      <c r="L167" s="22" t="s">
        <v>23</v>
      </c>
      <c r="M167" s="13" t="s">
        <v>22</v>
      </c>
      <c r="N167" s="22" t="s">
        <v>23</v>
      </c>
      <c r="O167" s="13" t="s">
        <v>22</v>
      </c>
      <c r="P167" s="22" t="s">
        <v>23</v>
      </c>
      <c r="Q167" s="13" t="s">
        <v>236</v>
      </c>
    </row>
    <row r="168" spans="1:38" ht="15.75" customHeight="1" x14ac:dyDescent="0.2">
      <c r="A168" s="13" t="s">
        <v>261</v>
      </c>
      <c r="B168" s="13" t="s">
        <v>18</v>
      </c>
      <c r="C168" s="13" t="s">
        <v>261</v>
      </c>
      <c r="D168" s="13" t="s">
        <v>19</v>
      </c>
      <c r="E168" s="13" t="s">
        <v>19</v>
      </c>
      <c r="F168" s="22" t="s">
        <v>23</v>
      </c>
      <c r="G168" s="13" t="s">
        <v>19</v>
      </c>
      <c r="H168" s="22" t="s">
        <v>23</v>
      </c>
      <c r="I168" s="13" t="s">
        <v>19</v>
      </c>
      <c r="J168" s="22" t="s">
        <v>23</v>
      </c>
      <c r="K168" s="13" t="s">
        <v>19</v>
      </c>
      <c r="L168" s="22" t="s">
        <v>23</v>
      </c>
      <c r="M168" s="13" t="s">
        <v>19</v>
      </c>
      <c r="N168" s="16" t="s">
        <v>23</v>
      </c>
      <c r="O168" s="13" t="s">
        <v>19</v>
      </c>
      <c r="P168" s="22" t="s">
        <v>23</v>
      </c>
      <c r="Q168" s="13" t="s">
        <v>236</v>
      </c>
    </row>
    <row r="169" spans="1:38" ht="15.75" customHeight="1" x14ac:dyDescent="0.2">
      <c r="A169" s="13" t="s">
        <v>262</v>
      </c>
      <c r="B169" s="13" t="s">
        <v>116</v>
      </c>
      <c r="C169" s="13" t="s">
        <v>262</v>
      </c>
      <c r="D169" s="13" t="s">
        <v>22</v>
      </c>
      <c r="E169" s="13" t="s">
        <v>22</v>
      </c>
      <c r="F169" s="22" t="s">
        <v>23</v>
      </c>
      <c r="G169" s="13" t="s">
        <v>22</v>
      </c>
      <c r="H169" s="22" t="s">
        <v>23</v>
      </c>
      <c r="I169" s="13" t="s">
        <v>22</v>
      </c>
      <c r="J169" s="22" t="s">
        <v>23</v>
      </c>
      <c r="K169" s="13" t="s">
        <v>22</v>
      </c>
      <c r="L169" s="22" t="s">
        <v>23</v>
      </c>
      <c r="M169" s="13" t="s">
        <v>22</v>
      </c>
      <c r="N169" s="43" t="s">
        <v>23</v>
      </c>
      <c r="O169" s="13" t="s">
        <v>22</v>
      </c>
      <c r="P169" s="43" t="s">
        <v>23</v>
      </c>
      <c r="Q169" s="13" t="s">
        <v>236</v>
      </c>
    </row>
    <row r="170" spans="1:38" ht="15.75" customHeight="1" x14ac:dyDescent="0.2">
      <c r="A170" s="41" t="s">
        <v>263</v>
      </c>
      <c r="B170" s="41" t="s">
        <v>116</v>
      </c>
      <c r="C170" s="41" t="s">
        <v>263</v>
      </c>
      <c r="D170" s="41" t="s">
        <v>19</v>
      </c>
      <c r="E170" s="41" t="s">
        <v>19</v>
      </c>
      <c r="F170" s="43" t="s">
        <v>23</v>
      </c>
      <c r="G170" s="41" t="s">
        <v>22</v>
      </c>
      <c r="H170" s="42" t="s">
        <v>25</v>
      </c>
      <c r="I170" s="41" t="s">
        <v>22</v>
      </c>
      <c r="J170" s="42" t="s">
        <v>25</v>
      </c>
      <c r="K170" s="41" t="s">
        <v>22</v>
      </c>
      <c r="L170" s="42" t="s">
        <v>25</v>
      </c>
      <c r="M170" s="41" t="s">
        <v>22</v>
      </c>
      <c r="N170" s="42" t="s">
        <v>345</v>
      </c>
      <c r="O170" s="41" t="s">
        <v>19</v>
      </c>
      <c r="P170" s="43" t="s">
        <v>23</v>
      </c>
      <c r="Q170" s="41" t="s">
        <v>236</v>
      </c>
      <c r="R170" s="44"/>
      <c r="S170" s="44"/>
      <c r="T170" s="25"/>
      <c r="U170" s="25"/>
      <c r="V170" s="25"/>
      <c r="W170" s="25"/>
      <c r="X170" s="25"/>
      <c r="Y170" s="25"/>
      <c r="Z170" s="25"/>
      <c r="AA170" s="25"/>
      <c r="AB170" s="25"/>
      <c r="AC170" s="25"/>
      <c r="AD170" s="25"/>
      <c r="AE170" s="25"/>
      <c r="AF170" s="25"/>
      <c r="AG170" s="25"/>
      <c r="AH170" s="25"/>
      <c r="AI170" s="25"/>
      <c r="AJ170" s="25"/>
      <c r="AK170" s="25"/>
      <c r="AL170" s="25"/>
    </row>
    <row r="171" spans="1:38" ht="15.75" customHeight="1" x14ac:dyDescent="0.2">
      <c r="A171" s="41" t="s">
        <v>264</v>
      </c>
      <c r="B171" s="41" t="s">
        <v>18</v>
      </c>
      <c r="C171" s="41" t="s">
        <v>264</v>
      </c>
      <c r="D171" s="41" t="s">
        <v>19</v>
      </c>
      <c r="E171" s="41" t="s">
        <v>19</v>
      </c>
      <c r="F171" s="43" t="s">
        <v>23</v>
      </c>
      <c r="G171" s="41" t="s">
        <v>19</v>
      </c>
      <c r="H171" s="22" t="s">
        <v>23</v>
      </c>
      <c r="I171" s="41" t="s">
        <v>19</v>
      </c>
      <c r="J171" s="43" t="s">
        <v>23</v>
      </c>
      <c r="K171" s="41" t="s">
        <v>19</v>
      </c>
      <c r="L171" s="43" t="s">
        <v>23</v>
      </c>
      <c r="M171" s="41" t="s">
        <v>19</v>
      </c>
      <c r="N171" s="42" t="s">
        <v>23</v>
      </c>
      <c r="O171" s="41" t="s">
        <v>19</v>
      </c>
      <c r="P171" s="43" t="s">
        <v>23</v>
      </c>
      <c r="Q171" s="41"/>
      <c r="R171" s="41"/>
      <c r="S171" s="44"/>
      <c r="T171" s="44"/>
      <c r="U171" s="44"/>
      <c r="V171" s="44"/>
      <c r="W171" s="44"/>
      <c r="X171" s="44"/>
      <c r="Y171" s="44"/>
      <c r="Z171" s="44"/>
      <c r="AA171" s="44"/>
      <c r="AB171" s="44"/>
      <c r="AC171" s="44"/>
      <c r="AD171" s="44"/>
      <c r="AE171" s="44"/>
      <c r="AF171" s="44"/>
      <c r="AG171" s="44"/>
      <c r="AH171" s="44"/>
      <c r="AI171" s="44"/>
      <c r="AJ171" s="44"/>
      <c r="AK171" s="44"/>
      <c r="AL171" s="44"/>
    </row>
    <row r="172" spans="1:38" ht="15.75" customHeight="1" x14ac:dyDescent="0.2">
      <c r="A172" s="13" t="s">
        <v>265</v>
      </c>
      <c r="B172" s="13" t="s">
        <v>116</v>
      </c>
      <c r="C172" s="13" t="s">
        <v>265</v>
      </c>
      <c r="D172" s="13" t="s">
        <v>22</v>
      </c>
      <c r="E172" s="13" t="s">
        <v>22</v>
      </c>
      <c r="F172" s="22" t="s">
        <v>23</v>
      </c>
      <c r="G172" s="13" t="s">
        <v>22</v>
      </c>
      <c r="H172" s="22" t="s">
        <v>23</v>
      </c>
      <c r="I172" s="13" t="s">
        <v>22</v>
      </c>
      <c r="J172" s="22" t="s">
        <v>23</v>
      </c>
      <c r="K172" s="13" t="s">
        <v>22</v>
      </c>
      <c r="L172" s="22" t="s">
        <v>23</v>
      </c>
      <c r="M172" s="13" t="s">
        <v>22</v>
      </c>
      <c r="N172" s="22" t="s">
        <v>23</v>
      </c>
      <c r="O172" s="13" t="s">
        <v>22</v>
      </c>
      <c r="P172" s="22" t="s">
        <v>23</v>
      </c>
      <c r="Q172" s="13"/>
      <c r="R172" s="13"/>
    </row>
    <row r="173" spans="1:38" ht="15.75" customHeight="1" x14ac:dyDescent="0.2">
      <c r="A173" s="13" t="s">
        <v>266</v>
      </c>
      <c r="B173" s="13" t="s">
        <v>116</v>
      </c>
      <c r="C173" s="13" t="s">
        <v>266</v>
      </c>
      <c r="D173" s="13" t="s">
        <v>22</v>
      </c>
      <c r="E173" s="13" t="s">
        <v>22</v>
      </c>
      <c r="F173" s="22" t="s">
        <v>23</v>
      </c>
      <c r="G173" s="13" t="s">
        <v>22</v>
      </c>
      <c r="H173" s="22" t="s">
        <v>23</v>
      </c>
      <c r="I173" s="13" t="s">
        <v>22</v>
      </c>
      <c r="J173" s="22" t="s">
        <v>23</v>
      </c>
      <c r="K173" s="13" t="s">
        <v>22</v>
      </c>
      <c r="L173" s="22" t="s">
        <v>23</v>
      </c>
      <c r="M173" s="13" t="s">
        <v>22</v>
      </c>
      <c r="N173" s="43" t="s">
        <v>23</v>
      </c>
      <c r="O173" s="13" t="s">
        <v>22</v>
      </c>
      <c r="P173" s="43" t="s">
        <v>23</v>
      </c>
      <c r="Q173" s="13"/>
      <c r="R173" s="13"/>
    </row>
    <row r="174" spans="1:38" ht="15.75" customHeight="1" x14ac:dyDescent="0.2">
      <c r="A174" s="13" t="s">
        <v>267</v>
      </c>
      <c r="B174" s="13" t="s">
        <v>18</v>
      </c>
      <c r="C174" s="13" t="s">
        <v>267</v>
      </c>
      <c r="D174" s="13" t="s">
        <v>22</v>
      </c>
      <c r="E174" s="13" t="s">
        <v>22</v>
      </c>
      <c r="F174" s="22" t="s">
        <v>23</v>
      </c>
      <c r="G174" s="13" t="s">
        <v>22</v>
      </c>
      <c r="H174" s="22" t="s">
        <v>23</v>
      </c>
      <c r="I174" s="13" t="s">
        <v>22</v>
      </c>
      <c r="J174" s="22" t="s">
        <v>23</v>
      </c>
      <c r="K174" s="13" t="s">
        <v>22</v>
      </c>
      <c r="L174" s="22" t="s">
        <v>23</v>
      </c>
      <c r="M174" s="13" t="s">
        <v>22</v>
      </c>
      <c r="N174" s="22" t="s">
        <v>23</v>
      </c>
      <c r="O174" s="13" t="s">
        <v>22</v>
      </c>
      <c r="P174" s="22" t="s">
        <v>23</v>
      </c>
      <c r="Q174" s="13"/>
      <c r="R174" s="13"/>
    </row>
    <row r="175" spans="1:38" ht="15.75" customHeight="1" x14ac:dyDescent="0.2">
      <c r="A175" s="13" t="s">
        <v>268</v>
      </c>
      <c r="B175" s="13" t="s">
        <v>18</v>
      </c>
      <c r="C175" s="13" t="s">
        <v>268</v>
      </c>
      <c r="D175" s="13" t="s">
        <v>22</v>
      </c>
      <c r="E175" s="13" t="s">
        <v>22</v>
      </c>
      <c r="F175" s="22" t="s">
        <v>23</v>
      </c>
      <c r="G175" s="13" t="s">
        <v>22</v>
      </c>
      <c r="H175" s="43" t="s">
        <v>23</v>
      </c>
      <c r="I175" s="13" t="s">
        <v>22</v>
      </c>
      <c r="J175" s="43" t="s">
        <v>23</v>
      </c>
      <c r="K175" s="13" t="s">
        <v>22</v>
      </c>
      <c r="L175" s="43" t="s">
        <v>23</v>
      </c>
      <c r="M175" s="13" t="s">
        <v>22</v>
      </c>
      <c r="N175" s="43" t="s">
        <v>23</v>
      </c>
      <c r="O175" s="13" t="s">
        <v>22</v>
      </c>
      <c r="P175" s="43" t="s">
        <v>23</v>
      </c>
      <c r="Q175" s="13"/>
      <c r="R175" s="13"/>
    </row>
    <row r="176" spans="1:38" ht="15.75" customHeight="1" x14ac:dyDescent="0.2">
      <c r="A176" s="13" t="s">
        <v>269</v>
      </c>
      <c r="B176" s="13" t="s">
        <v>18</v>
      </c>
      <c r="C176" s="13" t="s">
        <v>269</v>
      </c>
      <c r="D176" s="13" t="s">
        <v>19</v>
      </c>
      <c r="E176" s="13" t="s">
        <v>22</v>
      </c>
      <c r="F176" s="16" t="s">
        <v>25</v>
      </c>
      <c r="G176" s="13" t="s">
        <v>22</v>
      </c>
      <c r="H176" s="16" t="s">
        <v>25</v>
      </c>
      <c r="I176" s="13" t="s">
        <v>22</v>
      </c>
      <c r="J176" s="16" t="s">
        <v>25</v>
      </c>
      <c r="K176" s="13" t="s">
        <v>22</v>
      </c>
      <c r="L176" s="16" t="s">
        <v>25</v>
      </c>
      <c r="M176" s="13" t="s">
        <v>22</v>
      </c>
      <c r="N176" s="42" t="s">
        <v>345</v>
      </c>
      <c r="O176" s="13" t="s">
        <v>22</v>
      </c>
      <c r="P176" s="24" t="s">
        <v>345</v>
      </c>
      <c r="Q176" s="13"/>
      <c r="R176" s="13"/>
    </row>
    <row r="177" spans="1:18" ht="15.75" customHeight="1" x14ac:dyDescent="0.2">
      <c r="A177" s="13" t="s">
        <v>270</v>
      </c>
      <c r="B177" s="13" t="s">
        <v>18</v>
      </c>
      <c r="C177" s="13" t="s">
        <v>270</v>
      </c>
      <c r="D177" s="13" t="s">
        <v>19</v>
      </c>
      <c r="E177" s="13" t="s">
        <v>22</v>
      </c>
      <c r="F177" s="16" t="s">
        <v>25</v>
      </c>
      <c r="G177" s="13" t="s">
        <v>22</v>
      </c>
      <c r="H177" s="16" t="s">
        <v>25</v>
      </c>
      <c r="I177" s="13" t="s">
        <v>22</v>
      </c>
      <c r="J177" s="16" t="s">
        <v>25</v>
      </c>
      <c r="K177" s="13" t="s">
        <v>22</v>
      </c>
      <c r="L177" s="16" t="s">
        <v>25</v>
      </c>
      <c r="M177" s="13" t="s">
        <v>22</v>
      </c>
      <c r="N177" s="16" t="s">
        <v>345</v>
      </c>
      <c r="O177" s="13" t="s">
        <v>22</v>
      </c>
      <c r="P177" s="14" t="s">
        <v>345</v>
      </c>
      <c r="Q177" s="13"/>
      <c r="R177" s="13"/>
    </row>
    <row r="178" spans="1:18" ht="15.75" customHeight="1" x14ac:dyDescent="0.2">
      <c r="A178" s="13" t="s">
        <v>271</v>
      </c>
      <c r="B178" s="13" t="s">
        <v>46</v>
      </c>
      <c r="C178" s="13" t="s">
        <v>271</v>
      </c>
      <c r="D178" s="13" t="s">
        <v>22</v>
      </c>
      <c r="E178" s="13" t="s">
        <v>22</v>
      </c>
      <c r="F178" s="22" t="s">
        <v>23</v>
      </c>
      <c r="G178" s="13" t="s">
        <v>22</v>
      </c>
      <c r="H178" s="22" t="s">
        <v>23</v>
      </c>
      <c r="I178" s="13" t="s">
        <v>22</v>
      </c>
      <c r="J178" s="22" t="s">
        <v>23</v>
      </c>
      <c r="K178" s="13" t="s">
        <v>22</v>
      </c>
      <c r="L178" s="22" t="s">
        <v>23</v>
      </c>
      <c r="M178" s="13" t="s">
        <v>22</v>
      </c>
      <c r="N178" s="22" t="s">
        <v>23</v>
      </c>
      <c r="O178" s="13" t="s">
        <v>22</v>
      </c>
      <c r="P178" s="22" t="s">
        <v>23</v>
      </c>
      <c r="Q178" s="13"/>
      <c r="R178" s="13"/>
    </row>
    <row r="179" spans="1:18" ht="15.75" customHeight="1" x14ac:dyDescent="0.2">
      <c r="A179" s="13" t="s">
        <v>272</v>
      </c>
      <c r="B179" s="13" t="s">
        <v>46</v>
      </c>
      <c r="C179" s="13" t="s">
        <v>272</v>
      </c>
      <c r="D179" s="13" t="s">
        <v>22</v>
      </c>
      <c r="E179" s="13" t="s">
        <v>22</v>
      </c>
      <c r="F179" s="22" t="s">
        <v>23</v>
      </c>
      <c r="G179" s="13" t="s">
        <v>22</v>
      </c>
      <c r="H179" s="22" t="s">
        <v>23</v>
      </c>
      <c r="I179" s="13" t="s">
        <v>22</v>
      </c>
      <c r="J179" s="22" t="s">
        <v>23</v>
      </c>
      <c r="K179" s="13" t="s">
        <v>22</v>
      </c>
      <c r="L179" s="22" t="s">
        <v>23</v>
      </c>
      <c r="M179" s="13" t="s">
        <v>22</v>
      </c>
      <c r="N179" s="22" t="s">
        <v>23</v>
      </c>
      <c r="O179" s="13" t="s">
        <v>22</v>
      </c>
      <c r="P179" s="22" t="s">
        <v>23</v>
      </c>
      <c r="Q179" s="13"/>
      <c r="R179" s="13"/>
    </row>
    <row r="180" spans="1:18" ht="15.75" customHeight="1" x14ac:dyDescent="0.2">
      <c r="A180" s="13" t="s">
        <v>273</v>
      </c>
      <c r="B180" s="13" t="s">
        <v>116</v>
      </c>
      <c r="C180" s="13" t="s">
        <v>273</v>
      </c>
      <c r="D180" s="13" t="s">
        <v>22</v>
      </c>
      <c r="E180" s="13" t="s">
        <v>22</v>
      </c>
      <c r="F180" s="22" t="s">
        <v>23</v>
      </c>
      <c r="G180" s="13" t="s">
        <v>22</v>
      </c>
      <c r="H180" s="22" t="s">
        <v>23</v>
      </c>
      <c r="I180" s="13" t="s">
        <v>22</v>
      </c>
      <c r="J180" s="22" t="s">
        <v>23</v>
      </c>
      <c r="K180" s="13" t="s">
        <v>22</v>
      </c>
      <c r="L180" s="22" t="s">
        <v>23</v>
      </c>
      <c r="M180" s="13" t="s">
        <v>22</v>
      </c>
      <c r="N180" s="22" t="s">
        <v>23</v>
      </c>
      <c r="O180" s="13" t="s">
        <v>22</v>
      </c>
      <c r="P180" s="22" t="s">
        <v>23</v>
      </c>
      <c r="Q180" s="13" t="s">
        <v>274</v>
      </c>
    </row>
    <row r="181" spans="1:18" ht="15.75" customHeight="1" x14ac:dyDescent="0.2">
      <c r="A181" s="13" t="s">
        <v>275</v>
      </c>
      <c r="B181" s="13" t="s">
        <v>116</v>
      </c>
      <c r="C181" s="13" t="s">
        <v>275</v>
      </c>
      <c r="D181" s="13" t="s">
        <v>22</v>
      </c>
      <c r="E181" s="13" t="s">
        <v>22</v>
      </c>
      <c r="F181" s="43" t="s">
        <v>23</v>
      </c>
      <c r="G181" s="13" t="s">
        <v>22</v>
      </c>
      <c r="H181" s="43" t="s">
        <v>23</v>
      </c>
      <c r="I181" s="13" t="s">
        <v>22</v>
      </c>
      <c r="J181" s="43" t="s">
        <v>23</v>
      </c>
      <c r="K181" s="13" t="s">
        <v>22</v>
      </c>
      <c r="L181" s="43" t="s">
        <v>23</v>
      </c>
      <c r="M181" s="13" t="s">
        <v>22</v>
      </c>
      <c r="N181" s="43" t="s">
        <v>23</v>
      </c>
      <c r="O181" s="13" t="s">
        <v>22</v>
      </c>
      <c r="P181" s="43" t="s">
        <v>23</v>
      </c>
      <c r="Q181" s="13" t="s">
        <v>274</v>
      </c>
    </row>
    <row r="182" spans="1:18" ht="15.75" customHeight="1" x14ac:dyDescent="0.2">
      <c r="A182" s="13" t="s">
        <v>276</v>
      </c>
      <c r="B182" s="13" t="s">
        <v>144</v>
      </c>
      <c r="C182" s="13" t="s">
        <v>276</v>
      </c>
      <c r="D182" s="13" t="s">
        <v>19</v>
      </c>
      <c r="E182" s="13" t="s">
        <v>19</v>
      </c>
      <c r="F182" s="43" t="s">
        <v>23</v>
      </c>
      <c r="G182" s="13" t="s">
        <v>19</v>
      </c>
      <c r="H182" s="43" t="s">
        <v>23</v>
      </c>
      <c r="I182" s="13" t="s">
        <v>19</v>
      </c>
      <c r="J182" s="43" t="s">
        <v>23</v>
      </c>
      <c r="K182" s="13" t="s">
        <v>19</v>
      </c>
      <c r="L182" s="43" t="s">
        <v>23</v>
      </c>
      <c r="M182" s="13" t="s">
        <v>19</v>
      </c>
      <c r="N182" s="42" t="s">
        <v>23</v>
      </c>
      <c r="O182" s="13" t="s">
        <v>19</v>
      </c>
      <c r="P182" s="43" t="s">
        <v>23</v>
      </c>
      <c r="Q182" s="13" t="s">
        <v>274</v>
      </c>
      <c r="R182" t="s">
        <v>277</v>
      </c>
    </row>
    <row r="183" spans="1:18" ht="15.75" customHeight="1" x14ac:dyDescent="0.2">
      <c r="A183" s="13" t="s">
        <v>278</v>
      </c>
      <c r="B183" s="13" t="s">
        <v>116</v>
      </c>
      <c r="C183" s="13" t="s">
        <v>278</v>
      </c>
      <c r="D183" s="13" t="s">
        <v>22</v>
      </c>
      <c r="E183" s="13" t="s">
        <v>22</v>
      </c>
      <c r="F183" s="22" t="s">
        <v>23</v>
      </c>
      <c r="G183" s="13" t="s">
        <v>22</v>
      </c>
      <c r="H183" s="22" t="s">
        <v>23</v>
      </c>
      <c r="I183" s="13" t="s">
        <v>22</v>
      </c>
      <c r="J183" s="22" t="s">
        <v>23</v>
      </c>
      <c r="K183" s="13" t="s">
        <v>22</v>
      </c>
      <c r="L183" s="22" t="s">
        <v>23</v>
      </c>
      <c r="M183" s="13" t="s">
        <v>22</v>
      </c>
      <c r="N183" s="22" t="s">
        <v>23</v>
      </c>
      <c r="O183" s="13" t="s">
        <v>22</v>
      </c>
      <c r="P183" s="22" t="s">
        <v>23</v>
      </c>
      <c r="Q183" s="13" t="s">
        <v>274</v>
      </c>
    </row>
    <row r="184" spans="1:18" ht="15.75" customHeight="1" x14ac:dyDescent="0.2">
      <c r="A184" s="13" t="s">
        <v>279</v>
      </c>
      <c r="B184" s="13" t="s">
        <v>144</v>
      </c>
      <c r="C184" s="13" t="s">
        <v>279</v>
      </c>
      <c r="D184" s="13" t="s">
        <v>22</v>
      </c>
      <c r="E184" s="13" t="s">
        <v>22</v>
      </c>
      <c r="F184" s="22" t="s">
        <v>23</v>
      </c>
      <c r="G184" s="13" t="s">
        <v>22</v>
      </c>
      <c r="H184" s="22" t="s">
        <v>23</v>
      </c>
      <c r="I184" s="13" t="s">
        <v>22</v>
      </c>
      <c r="J184" s="22" t="s">
        <v>23</v>
      </c>
      <c r="K184" s="13" t="s">
        <v>22</v>
      </c>
      <c r="L184" s="22" t="s">
        <v>23</v>
      </c>
      <c r="M184" s="13" t="s">
        <v>22</v>
      </c>
      <c r="N184" s="22" t="s">
        <v>23</v>
      </c>
      <c r="O184" s="13" t="s">
        <v>22</v>
      </c>
      <c r="P184" s="22" t="s">
        <v>23</v>
      </c>
      <c r="Q184" s="13"/>
      <c r="R184" s="13"/>
    </row>
    <row r="185" spans="1:18" ht="15.75" customHeight="1" x14ac:dyDescent="0.2">
      <c r="A185" s="13" t="s">
        <v>280</v>
      </c>
      <c r="B185" s="13" t="s">
        <v>116</v>
      </c>
      <c r="C185" s="13" t="s">
        <v>280</v>
      </c>
      <c r="D185" s="13" t="s">
        <v>19</v>
      </c>
      <c r="E185" s="13" t="s">
        <v>22</v>
      </c>
      <c r="F185" s="16" t="s">
        <v>25</v>
      </c>
      <c r="G185" s="13" t="s">
        <v>22</v>
      </c>
      <c r="H185" s="16" t="s">
        <v>25</v>
      </c>
      <c r="I185" s="13" t="s">
        <v>22</v>
      </c>
      <c r="J185" s="16" t="s">
        <v>25</v>
      </c>
      <c r="K185" s="13" t="s">
        <v>22</v>
      </c>
      <c r="L185" s="16" t="s">
        <v>25</v>
      </c>
      <c r="M185" s="13" t="s">
        <v>22</v>
      </c>
      <c r="N185" s="16" t="s">
        <v>345</v>
      </c>
      <c r="O185" s="13" t="s">
        <v>22</v>
      </c>
      <c r="P185" s="14" t="s">
        <v>345</v>
      </c>
      <c r="Q185" s="13" t="s">
        <v>274</v>
      </c>
      <c r="R185" t="s">
        <v>281</v>
      </c>
    </row>
    <row r="186" spans="1:18" ht="15.75" customHeight="1" x14ac:dyDescent="0.2">
      <c r="A186" s="13" t="s">
        <v>282</v>
      </c>
      <c r="B186" s="13" t="s">
        <v>116</v>
      </c>
      <c r="C186" s="13" t="s">
        <v>282</v>
      </c>
      <c r="D186" s="13" t="s">
        <v>22</v>
      </c>
      <c r="E186" s="13" t="s">
        <v>22</v>
      </c>
      <c r="F186" s="22" t="s">
        <v>23</v>
      </c>
      <c r="G186" s="13" t="s">
        <v>22</v>
      </c>
      <c r="H186" s="22" t="s">
        <v>23</v>
      </c>
      <c r="I186" s="13" t="s">
        <v>22</v>
      </c>
      <c r="J186" s="22" t="s">
        <v>23</v>
      </c>
      <c r="K186" s="13" t="s">
        <v>22</v>
      </c>
      <c r="L186" s="22" t="s">
        <v>23</v>
      </c>
      <c r="M186" s="13" t="s">
        <v>22</v>
      </c>
      <c r="N186" s="22" t="s">
        <v>23</v>
      </c>
      <c r="O186" s="13" t="s">
        <v>22</v>
      </c>
      <c r="P186" s="22" t="s">
        <v>23</v>
      </c>
      <c r="Q186" s="13"/>
      <c r="R186" s="13"/>
    </row>
    <row r="187" spans="1:18" ht="15.75" customHeight="1" x14ac:dyDescent="0.2">
      <c r="A187" s="13" t="s">
        <v>283</v>
      </c>
      <c r="B187" s="13" t="s">
        <v>116</v>
      </c>
      <c r="C187" s="13" t="s">
        <v>283</v>
      </c>
      <c r="D187" s="13" t="s">
        <v>22</v>
      </c>
      <c r="E187" s="13" t="s">
        <v>22</v>
      </c>
      <c r="F187" s="22" t="s">
        <v>23</v>
      </c>
      <c r="G187" s="13" t="s">
        <v>22</v>
      </c>
      <c r="H187" s="22" t="s">
        <v>23</v>
      </c>
      <c r="I187" s="13" t="s">
        <v>22</v>
      </c>
      <c r="J187" s="22" t="s">
        <v>23</v>
      </c>
      <c r="K187" s="13" t="s">
        <v>22</v>
      </c>
      <c r="L187" s="22" t="s">
        <v>23</v>
      </c>
      <c r="M187" s="13" t="s">
        <v>22</v>
      </c>
      <c r="N187" s="43" t="s">
        <v>23</v>
      </c>
      <c r="O187" s="13" t="s">
        <v>22</v>
      </c>
      <c r="P187" s="43" t="s">
        <v>23</v>
      </c>
      <c r="Q187" s="13"/>
      <c r="R187" s="13"/>
    </row>
    <row r="188" spans="1:18" ht="15.75" customHeight="1" x14ac:dyDescent="0.2">
      <c r="A188" s="13" t="s">
        <v>284</v>
      </c>
      <c r="B188" s="13" t="s">
        <v>116</v>
      </c>
      <c r="C188" s="13" t="s">
        <v>284</v>
      </c>
      <c r="D188" s="13" t="s">
        <v>19</v>
      </c>
      <c r="E188" s="13" t="s">
        <v>22</v>
      </c>
      <c r="F188" s="16" t="s">
        <v>25</v>
      </c>
      <c r="G188" s="13" t="s">
        <v>22</v>
      </c>
      <c r="H188" s="16" t="s">
        <v>25</v>
      </c>
      <c r="I188" s="13" t="s">
        <v>22</v>
      </c>
      <c r="J188" s="16" t="s">
        <v>25</v>
      </c>
      <c r="K188" s="13" t="s">
        <v>22</v>
      </c>
      <c r="L188" s="16" t="s">
        <v>25</v>
      </c>
      <c r="M188" s="13" t="s">
        <v>22</v>
      </c>
      <c r="N188" s="16" t="s">
        <v>345</v>
      </c>
      <c r="O188" s="13" t="s">
        <v>22</v>
      </c>
      <c r="P188" s="14" t="s">
        <v>345</v>
      </c>
      <c r="Q188" s="13"/>
      <c r="R188" s="13" t="s">
        <v>285</v>
      </c>
    </row>
    <row r="189" spans="1:18" ht="15.75" customHeight="1" x14ac:dyDescent="0.2">
      <c r="A189" s="13" t="s">
        <v>286</v>
      </c>
      <c r="B189" s="13" t="s">
        <v>116</v>
      </c>
      <c r="C189" s="13" t="s">
        <v>286</v>
      </c>
      <c r="D189" s="13" t="s">
        <v>22</v>
      </c>
      <c r="E189" s="13" t="s">
        <v>22</v>
      </c>
      <c r="F189" s="22" t="s">
        <v>23</v>
      </c>
      <c r="G189" s="13" t="s">
        <v>22</v>
      </c>
      <c r="H189" s="22" t="s">
        <v>23</v>
      </c>
      <c r="I189" s="13" t="s">
        <v>22</v>
      </c>
      <c r="J189" s="22" t="s">
        <v>23</v>
      </c>
      <c r="K189" s="13" t="s">
        <v>22</v>
      </c>
      <c r="L189" s="22" t="s">
        <v>23</v>
      </c>
      <c r="M189" s="13" t="s">
        <v>22</v>
      </c>
      <c r="N189" s="22" t="s">
        <v>23</v>
      </c>
      <c r="O189" s="13" t="s">
        <v>22</v>
      </c>
      <c r="P189" s="22" t="s">
        <v>23</v>
      </c>
      <c r="Q189" s="13"/>
      <c r="R189" s="13"/>
    </row>
    <row r="190" spans="1:18" ht="15.75" customHeight="1" x14ac:dyDescent="0.2">
      <c r="A190" s="13" t="s">
        <v>287</v>
      </c>
      <c r="B190" s="13" t="s">
        <v>18</v>
      </c>
      <c r="C190" s="13" t="s">
        <v>287</v>
      </c>
      <c r="D190" s="13" t="s">
        <v>19</v>
      </c>
      <c r="E190" s="13" t="s">
        <v>19</v>
      </c>
      <c r="F190" s="43" t="s">
        <v>23</v>
      </c>
      <c r="G190" s="13" t="s">
        <v>19</v>
      </c>
      <c r="H190" s="43" t="s">
        <v>23</v>
      </c>
      <c r="I190" s="13" t="s">
        <v>19</v>
      </c>
      <c r="J190" s="43" t="s">
        <v>23</v>
      </c>
      <c r="K190" s="13" t="s">
        <v>19</v>
      </c>
      <c r="L190" s="43" t="s">
        <v>23</v>
      </c>
      <c r="M190" s="13" t="s">
        <v>19</v>
      </c>
      <c r="N190" s="42" t="s">
        <v>23</v>
      </c>
      <c r="O190" s="13" t="s">
        <v>19</v>
      </c>
      <c r="P190" s="43" t="s">
        <v>23</v>
      </c>
      <c r="Q190" s="13"/>
      <c r="R190" s="13"/>
    </row>
    <row r="191" spans="1:18" ht="15.75" customHeight="1" x14ac:dyDescent="0.2">
      <c r="A191" s="13" t="s">
        <v>288</v>
      </c>
      <c r="B191" s="13" t="s">
        <v>18</v>
      </c>
      <c r="C191" s="13" t="s">
        <v>288</v>
      </c>
      <c r="D191" s="13" t="s">
        <v>19</v>
      </c>
      <c r="E191" s="13" t="s">
        <v>19</v>
      </c>
      <c r="F191" s="22" t="s">
        <v>23</v>
      </c>
      <c r="G191" s="13" t="s">
        <v>19</v>
      </c>
      <c r="H191" s="22" t="s">
        <v>23</v>
      </c>
      <c r="I191" s="13" t="s">
        <v>19</v>
      </c>
      <c r="J191" s="22" t="s">
        <v>23</v>
      </c>
      <c r="K191" s="13" t="s">
        <v>19</v>
      </c>
      <c r="L191" s="22" t="s">
        <v>23</v>
      </c>
      <c r="M191" s="13" t="s">
        <v>19</v>
      </c>
      <c r="N191" s="16" t="s">
        <v>23</v>
      </c>
      <c r="O191" s="13" t="s">
        <v>19</v>
      </c>
      <c r="P191" s="22" t="s">
        <v>23</v>
      </c>
      <c r="Q191" s="13"/>
      <c r="R191" s="13"/>
    </row>
    <row r="192" spans="1:18" ht="15.75" customHeight="1" x14ac:dyDescent="0.2">
      <c r="A192" s="13" t="s">
        <v>289</v>
      </c>
      <c r="B192" s="13" t="s">
        <v>18</v>
      </c>
      <c r="C192" s="13" t="s">
        <v>289</v>
      </c>
      <c r="D192" s="13" t="s">
        <v>19</v>
      </c>
      <c r="E192" s="13" t="s">
        <v>22</v>
      </c>
      <c r="F192" s="16" t="s">
        <v>25</v>
      </c>
      <c r="G192" s="13" t="s">
        <v>22</v>
      </c>
      <c r="H192" s="16" t="s">
        <v>25</v>
      </c>
      <c r="I192" s="13" t="s">
        <v>22</v>
      </c>
      <c r="J192" s="16" t="s">
        <v>25</v>
      </c>
      <c r="K192" s="13" t="s">
        <v>22</v>
      </c>
      <c r="L192" s="16" t="s">
        <v>25</v>
      </c>
      <c r="M192" s="13" t="s">
        <v>22</v>
      </c>
      <c r="N192" s="16" t="s">
        <v>345</v>
      </c>
      <c r="O192" s="13" t="s">
        <v>22</v>
      </c>
      <c r="P192" s="14" t="s">
        <v>345</v>
      </c>
      <c r="Q192" s="13"/>
      <c r="R192" s="13"/>
    </row>
    <row r="193" spans="1:38" ht="15.75" customHeight="1" x14ac:dyDescent="0.2">
      <c r="A193" s="13" t="s">
        <v>290</v>
      </c>
      <c r="B193" s="13" t="s">
        <v>18</v>
      </c>
      <c r="C193" s="13" t="s">
        <v>290</v>
      </c>
      <c r="D193" s="13" t="s">
        <v>22</v>
      </c>
      <c r="E193" s="13" t="s">
        <v>22</v>
      </c>
      <c r="F193" s="43" t="s">
        <v>23</v>
      </c>
      <c r="G193" s="13" t="s">
        <v>22</v>
      </c>
      <c r="H193" s="43" t="s">
        <v>23</v>
      </c>
      <c r="I193" s="13" t="s">
        <v>22</v>
      </c>
      <c r="J193" s="43" t="s">
        <v>23</v>
      </c>
      <c r="K193" s="13" t="s">
        <v>22</v>
      </c>
      <c r="L193" s="43" t="s">
        <v>23</v>
      </c>
      <c r="M193" s="13" t="s">
        <v>22</v>
      </c>
      <c r="N193" s="43" t="s">
        <v>23</v>
      </c>
      <c r="O193" s="13" t="s">
        <v>22</v>
      </c>
      <c r="P193" s="43" t="s">
        <v>23</v>
      </c>
      <c r="Q193" s="13"/>
      <c r="R193" s="13"/>
    </row>
    <row r="194" spans="1:38" ht="15.75" customHeight="1" x14ac:dyDescent="0.2">
      <c r="A194" s="13" t="s">
        <v>291</v>
      </c>
      <c r="B194" s="13" t="s">
        <v>18</v>
      </c>
      <c r="C194" s="13"/>
      <c r="D194" s="13" t="s">
        <v>19</v>
      </c>
      <c r="E194" s="13" t="s">
        <v>22</v>
      </c>
      <c r="F194" s="16" t="s">
        <v>25</v>
      </c>
      <c r="G194" s="13" t="s">
        <v>22</v>
      </c>
      <c r="H194" s="16" t="s">
        <v>25</v>
      </c>
      <c r="I194" s="13" t="s">
        <v>22</v>
      </c>
      <c r="J194" s="16" t="s">
        <v>25</v>
      </c>
      <c r="K194" s="13" t="s">
        <v>22</v>
      </c>
      <c r="L194" s="16" t="s">
        <v>25</v>
      </c>
      <c r="M194" s="13" t="s">
        <v>22</v>
      </c>
      <c r="N194" s="16" t="s">
        <v>345</v>
      </c>
      <c r="O194" s="13" t="s">
        <v>22</v>
      </c>
      <c r="P194" s="14" t="s">
        <v>345</v>
      </c>
      <c r="Q194" s="13"/>
      <c r="R194" s="13"/>
    </row>
    <row r="195" spans="1:38" ht="15.75" customHeight="1" x14ac:dyDescent="0.2">
      <c r="A195" s="13" t="s">
        <v>292</v>
      </c>
      <c r="B195" s="13" t="s">
        <v>39</v>
      </c>
      <c r="C195" s="13" t="s">
        <v>292</v>
      </c>
      <c r="D195" s="13" t="s">
        <v>22</v>
      </c>
      <c r="E195" s="13" t="s">
        <v>22</v>
      </c>
      <c r="F195" s="22" t="s">
        <v>23</v>
      </c>
      <c r="G195" s="13" t="s">
        <v>22</v>
      </c>
      <c r="H195" s="22" t="s">
        <v>23</v>
      </c>
      <c r="I195" s="13" t="s">
        <v>22</v>
      </c>
      <c r="J195" s="22" t="s">
        <v>23</v>
      </c>
      <c r="K195" s="13" t="s">
        <v>22</v>
      </c>
      <c r="L195" s="22" t="s">
        <v>23</v>
      </c>
      <c r="M195" s="13" t="s">
        <v>22</v>
      </c>
      <c r="N195" s="43" t="s">
        <v>23</v>
      </c>
      <c r="O195" s="13" t="s">
        <v>22</v>
      </c>
      <c r="P195" s="43" t="s">
        <v>23</v>
      </c>
      <c r="Q195" s="13"/>
      <c r="R195" s="13"/>
    </row>
    <row r="196" spans="1:38" ht="15.75" customHeight="1" x14ac:dyDescent="0.2">
      <c r="A196" s="13" t="s">
        <v>293</v>
      </c>
      <c r="B196" s="13" t="s">
        <v>80</v>
      </c>
      <c r="C196" s="13" t="s">
        <v>293</v>
      </c>
      <c r="D196" s="13" t="s">
        <v>19</v>
      </c>
      <c r="E196" s="13" t="s">
        <v>19</v>
      </c>
      <c r="F196" s="22" t="s">
        <v>23</v>
      </c>
      <c r="G196" s="13" t="s">
        <v>19</v>
      </c>
      <c r="H196" s="22" t="s">
        <v>23</v>
      </c>
      <c r="I196" s="13" t="s">
        <v>19</v>
      </c>
      <c r="J196" s="22" t="s">
        <v>23</v>
      </c>
      <c r="K196" s="13" t="s">
        <v>19</v>
      </c>
      <c r="L196" s="22" t="s">
        <v>23</v>
      </c>
      <c r="M196" s="13" t="s">
        <v>19</v>
      </c>
      <c r="N196" s="42" t="s">
        <v>23</v>
      </c>
      <c r="O196" s="13" t="s">
        <v>19</v>
      </c>
      <c r="P196" s="43" t="s">
        <v>23</v>
      </c>
      <c r="Q196" s="13"/>
      <c r="R196" s="13"/>
    </row>
    <row r="197" spans="1:38" ht="15.75" customHeight="1" x14ac:dyDescent="0.2">
      <c r="A197" s="13" t="s">
        <v>294</v>
      </c>
      <c r="B197" s="13" t="s">
        <v>80</v>
      </c>
      <c r="C197" s="13" t="s">
        <v>294</v>
      </c>
      <c r="D197" s="13" t="s">
        <v>19</v>
      </c>
      <c r="E197" s="13" t="s">
        <v>22</v>
      </c>
      <c r="F197" s="42" t="s">
        <v>25</v>
      </c>
      <c r="G197" s="13" t="s">
        <v>22</v>
      </c>
      <c r="H197" s="42" t="s">
        <v>25</v>
      </c>
      <c r="I197" s="13" t="s">
        <v>22</v>
      </c>
      <c r="J197" s="42" t="s">
        <v>25</v>
      </c>
      <c r="K197" s="13" t="s">
        <v>22</v>
      </c>
      <c r="L197" s="42" t="s">
        <v>25</v>
      </c>
      <c r="M197" s="13" t="s">
        <v>22</v>
      </c>
      <c r="N197" s="42" t="s">
        <v>345</v>
      </c>
      <c r="O197" s="13" t="s">
        <v>22</v>
      </c>
      <c r="P197" s="24" t="s">
        <v>345</v>
      </c>
      <c r="Q197" s="13"/>
      <c r="R197" s="13"/>
    </row>
    <row r="198" spans="1:38" ht="15.75" customHeight="1" x14ac:dyDescent="0.2">
      <c r="A198" s="13" t="s">
        <v>295</v>
      </c>
      <c r="B198" s="13" t="s">
        <v>91</v>
      </c>
      <c r="C198" s="13"/>
      <c r="D198" s="13" t="s">
        <v>22</v>
      </c>
      <c r="E198" s="13" t="s">
        <v>22</v>
      </c>
      <c r="F198" s="22" t="s">
        <v>23</v>
      </c>
      <c r="G198" s="13" t="s">
        <v>22</v>
      </c>
      <c r="H198" s="22" t="s">
        <v>23</v>
      </c>
      <c r="I198" s="13" t="s">
        <v>22</v>
      </c>
      <c r="J198" s="22" t="s">
        <v>23</v>
      </c>
      <c r="K198" s="13" t="s">
        <v>22</v>
      </c>
      <c r="L198" s="22" t="s">
        <v>23</v>
      </c>
      <c r="M198" s="13" t="s">
        <v>22</v>
      </c>
      <c r="N198" s="22" t="s">
        <v>23</v>
      </c>
      <c r="O198" s="13" t="s">
        <v>22</v>
      </c>
      <c r="P198" s="22" t="s">
        <v>23</v>
      </c>
      <c r="Q198" s="13"/>
      <c r="R198" s="13"/>
    </row>
    <row r="199" spans="1:38" ht="15.75" customHeight="1" x14ac:dyDescent="0.2">
      <c r="A199" s="13" t="s">
        <v>296</v>
      </c>
      <c r="B199" s="13" t="s">
        <v>97</v>
      </c>
      <c r="C199" s="13"/>
      <c r="D199" s="13" t="s">
        <v>22</v>
      </c>
      <c r="E199" s="13" t="s">
        <v>22</v>
      </c>
      <c r="F199" s="43" t="s">
        <v>23</v>
      </c>
      <c r="G199" s="13" t="s">
        <v>22</v>
      </c>
      <c r="H199" s="43" t="s">
        <v>23</v>
      </c>
      <c r="I199" s="13" t="s">
        <v>22</v>
      </c>
      <c r="J199" s="43" t="s">
        <v>23</v>
      </c>
      <c r="K199" s="13" t="s">
        <v>22</v>
      </c>
      <c r="L199" s="43" t="s">
        <v>23</v>
      </c>
      <c r="M199" s="13" t="s">
        <v>22</v>
      </c>
      <c r="N199" s="43" t="s">
        <v>23</v>
      </c>
      <c r="O199" s="13" t="s">
        <v>22</v>
      </c>
      <c r="P199" s="43" t="s">
        <v>23</v>
      </c>
      <c r="Q199" s="13" t="s">
        <v>297</v>
      </c>
      <c r="R199" s="13"/>
    </row>
    <row r="200" spans="1:38" ht="15.75" customHeight="1" x14ac:dyDescent="0.2">
      <c r="A200" s="13" t="s">
        <v>298</v>
      </c>
      <c r="B200" s="13" t="s">
        <v>100</v>
      </c>
      <c r="C200" s="13" t="s">
        <v>298</v>
      </c>
      <c r="D200" s="13" t="s">
        <v>22</v>
      </c>
      <c r="E200" s="13" t="s">
        <v>22</v>
      </c>
      <c r="F200" s="22" t="s">
        <v>23</v>
      </c>
      <c r="G200" s="13" t="s">
        <v>22</v>
      </c>
      <c r="H200" s="22" t="s">
        <v>23</v>
      </c>
      <c r="I200" s="13" t="s">
        <v>22</v>
      </c>
      <c r="J200" s="22" t="s">
        <v>23</v>
      </c>
      <c r="K200" s="13" t="s">
        <v>22</v>
      </c>
      <c r="L200" s="22" t="s">
        <v>23</v>
      </c>
      <c r="M200" s="13" t="s">
        <v>22</v>
      </c>
      <c r="N200" s="22" t="s">
        <v>23</v>
      </c>
      <c r="O200" s="13" t="s">
        <v>22</v>
      </c>
      <c r="P200" s="22" t="s">
        <v>23</v>
      </c>
      <c r="Q200" s="13"/>
      <c r="R200" s="13"/>
    </row>
    <row r="201" spans="1:38" ht="15.75" customHeight="1" x14ac:dyDescent="0.2">
      <c r="A201" s="13" t="s">
        <v>299</v>
      </c>
      <c r="B201" s="13" t="s">
        <v>100</v>
      </c>
      <c r="C201" s="13" t="s">
        <v>299</v>
      </c>
      <c r="D201" s="13" t="s">
        <v>19</v>
      </c>
      <c r="E201" s="13" t="s">
        <v>22</v>
      </c>
      <c r="F201" s="16" t="s">
        <v>25</v>
      </c>
      <c r="G201" s="13" t="s">
        <v>22</v>
      </c>
      <c r="H201" s="16" t="s">
        <v>25</v>
      </c>
      <c r="I201" s="13" t="s">
        <v>22</v>
      </c>
      <c r="J201" s="16" t="s">
        <v>25</v>
      </c>
      <c r="K201" s="13" t="s">
        <v>22</v>
      </c>
      <c r="L201" s="16" t="s">
        <v>25</v>
      </c>
      <c r="M201" s="13" t="s">
        <v>22</v>
      </c>
      <c r="N201" s="42" t="s">
        <v>345</v>
      </c>
      <c r="O201" s="13" t="s">
        <v>22</v>
      </c>
      <c r="P201" s="24" t="s">
        <v>345</v>
      </c>
      <c r="Q201" s="13"/>
      <c r="R201" s="13" t="s">
        <v>300</v>
      </c>
    </row>
    <row r="202" spans="1:38" ht="15.75" customHeight="1" x14ac:dyDescent="0.2">
      <c r="A202" s="13" t="s">
        <v>301</v>
      </c>
      <c r="B202" s="13" t="s">
        <v>80</v>
      </c>
      <c r="C202" s="13" t="s">
        <v>301</v>
      </c>
      <c r="D202" s="13" t="s">
        <v>22</v>
      </c>
      <c r="E202" s="13" t="s">
        <v>22</v>
      </c>
      <c r="F202" s="43" t="s">
        <v>23</v>
      </c>
      <c r="G202" s="13" t="s">
        <v>22</v>
      </c>
      <c r="H202" s="43" t="s">
        <v>23</v>
      </c>
      <c r="I202" s="13" t="s">
        <v>22</v>
      </c>
      <c r="J202" s="43" t="s">
        <v>23</v>
      </c>
      <c r="K202" s="13" t="s">
        <v>22</v>
      </c>
      <c r="L202" s="43" t="s">
        <v>23</v>
      </c>
      <c r="M202" s="13" t="s">
        <v>22</v>
      </c>
      <c r="N202" s="43" t="s">
        <v>23</v>
      </c>
      <c r="O202" s="13" t="s">
        <v>22</v>
      </c>
      <c r="P202" s="43" t="s">
        <v>23</v>
      </c>
      <c r="Q202" s="13"/>
      <c r="R202" s="13" t="s">
        <v>302</v>
      </c>
    </row>
    <row r="203" spans="1:38" ht="15.75" customHeight="1" x14ac:dyDescent="0.2">
      <c r="A203" s="13" t="s">
        <v>303</v>
      </c>
      <c r="B203" s="13" t="s">
        <v>58</v>
      </c>
      <c r="C203" s="13" t="s">
        <v>22</v>
      </c>
      <c r="D203" s="13" t="s">
        <v>22</v>
      </c>
      <c r="E203" s="13" t="s">
        <v>22</v>
      </c>
      <c r="F203" s="22" t="s">
        <v>23</v>
      </c>
      <c r="G203" s="13" t="s">
        <v>22</v>
      </c>
      <c r="H203" s="22" t="s">
        <v>23</v>
      </c>
      <c r="I203" s="13" t="s">
        <v>22</v>
      </c>
      <c r="J203" s="22" t="s">
        <v>23</v>
      </c>
      <c r="K203" s="13" t="s">
        <v>22</v>
      </c>
      <c r="L203" s="22" t="s">
        <v>23</v>
      </c>
      <c r="M203" s="13" t="s">
        <v>22</v>
      </c>
      <c r="N203" s="22" t="s">
        <v>23</v>
      </c>
      <c r="O203" s="13" t="s">
        <v>22</v>
      </c>
      <c r="P203" s="22" t="s">
        <v>23</v>
      </c>
      <c r="Q203" s="13"/>
      <c r="R203" t="s">
        <v>302</v>
      </c>
    </row>
    <row r="204" spans="1:38" ht="15.75" customHeight="1" x14ac:dyDescent="0.2">
      <c r="A204" s="13" t="s">
        <v>304</v>
      </c>
      <c r="B204" s="13" t="s">
        <v>18</v>
      </c>
      <c r="C204" s="13" t="s">
        <v>304</v>
      </c>
      <c r="D204" s="13" t="s">
        <v>22</v>
      </c>
      <c r="E204" s="13" t="s">
        <v>22</v>
      </c>
      <c r="F204" s="22" t="s">
        <v>23</v>
      </c>
      <c r="G204" s="13" t="s">
        <v>22</v>
      </c>
      <c r="H204" s="22" t="s">
        <v>23</v>
      </c>
      <c r="I204" s="13" t="s">
        <v>22</v>
      </c>
      <c r="J204" s="22" t="s">
        <v>23</v>
      </c>
      <c r="K204" s="13" t="s">
        <v>22</v>
      </c>
      <c r="L204" s="22" t="s">
        <v>23</v>
      </c>
      <c r="M204" s="13" t="s">
        <v>22</v>
      </c>
      <c r="N204" s="22" t="s">
        <v>23</v>
      </c>
      <c r="O204" s="13" t="s">
        <v>22</v>
      </c>
      <c r="P204" s="22" t="s">
        <v>23</v>
      </c>
      <c r="Q204" s="13" t="s">
        <v>305</v>
      </c>
      <c r="R204" s="13"/>
    </row>
    <row r="205" spans="1:38" ht="15.75" customHeight="1" x14ac:dyDescent="0.2">
      <c r="A205" s="41" t="s">
        <v>306</v>
      </c>
      <c r="B205" s="41" t="s">
        <v>144</v>
      </c>
      <c r="C205" s="41"/>
      <c r="D205" s="41" t="s">
        <v>22</v>
      </c>
      <c r="E205" s="41" t="s">
        <v>22</v>
      </c>
      <c r="F205" s="22" t="s">
        <v>23</v>
      </c>
      <c r="G205" s="41" t="s">
        <v>22</v>
      </c>
      <c r="H205" s="22" t="s">
        <v>23</v>
      </c>
      <c r="I205" s="41" t="s">
        <v>22</v>
      </c>
      <c r="J205" s="22" t="s">
        <v>23</v>
      </c>
      <c r="K205" s="41" t="s">
        <v>22</v>
      </c>
      <c r="L205" s="22" t="s">
        <v>23</v>
      </c>
      <c r="M205" s="41" t="s">
        <v>22</v>
      </c>
      <c r="N205" s="22" t="s">
        <v>23</v>
      </c>
      <c r="O205" s="41" t="s">
        <v>22</v>
      </c>
      <c r="P205" s="22" t="s">
        <v>23</v>
      </c>
      <c r="Q205" s="41" t="s">
        <v>60</v>
      </c>
      <c r="R205" s="44"/>
      <c r="S205" s="4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  <c r="AG205" s="4"/>
      <c r="AH205" s="4"/>
      <c r="AI205" s="4"/>
      <c r="AJ205" s="4"/>
      <c r="AK205" s="4"/>
      <c r="AL205" s="4"/>
    </row>
    <row r="206" spans="1:38" ht="15.75" customHeight="1" x14ac:dyDescent="0.2">
      <c r="A206" s="41" t="s">
        <v>307</v>
      </c>
      <c r="B206" s="41" t="s">
        <v>144</v>
      </c>
      <c r="C206" s="41" t="s">
        <v>307</v>
      </c>
      <c r="D206" s="41" t="s">
        <v>19</v>
      </c>
      <c r="E206" s="41" t="s">
        <v>22</v>
      </c>
      <c r="F206" s="42" t="s">
        <v>25</v>
      </c>
      <c r="G206" s="41" t="s">
        <v>22</v>
      </c>
      <c r="H206" s="42" t="s">
        <v>25</v>
      </c>
      <c r="I206" s="41" t="s">
        <v>22</v>
      </c>
      <c r="J206" s="42" t="s">
        <v>25</v>
      </c>
      <c r="K206" s="41" t="s">
        <v>22</v>
      </c>
      <c r="L206" s="42" t="s">
        <v>25</v>
      </c>
      <c r="M206" s="41" t="s">
        <v>22</v>
      </c>
      <c r="N206" s="42" t="s">
        <v>345</v>
      </c>
      <c r="O206" s="41" t="s">
        <v>22</v>
      </c>
      <c r="P206" s="24" t="s">
        <v>345</v>
      </c>
      <c r="Q206" s="41"/>
      <c r="R206" s="41"/>
      <c r="S206" s="4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  <c r="AG206" s="4"/>
      <c r="AH206" s="4"/>
      <c r="AI206" s="4"/>
      <c r="AJ206" s="4"/>
      <c r="AK206" s="4"/>
      <c r="AL206" s="4"/>
    </row>
    <row r="207" spans="1:38" ht="15.75" customHeight="1" x14ac:dyDescent="0.2">
      <c r="A207" s="13" t="s">
        <v>308</v>
      </c>
      <c r="B207" s="13" t="s">
        <v>39</v>
      </c>
      <c r="C207" s="13" t="s">
        <v>308</v>
      </c>
      <c r="D207" s="13" t="s">
        <v>19</v>
      </c>
      <c r="E207" s="13" t="s">
        <v>19</v>
      </c>
      <c r="F207" s="22" t="s">
        <v>23</v>
      </c>
      <c r="G207" s="13" t="s">
        <v>19</v>
      </c>
      <c r="H207" s="22" t="s">
        <v>23</v>
      </c>
      <c r="I207" s="13" t="s">
        <v>19</v>
      </c>
      <c r="J207" s="22" t="s">
        <v>23</v>
      </c>
      <c r="K207" s="13" t="s">
        <v>19</v>
      </c>
      <c r="L207" s="22" t="s">
        <v>23</v>
      </c>
      <c r="M207" s="13" t="s">
        <v>19</v>
      </c>
      <c r="N207" s="16" t="s">
        <v>23</v>
      </c>
      <c r="O207" s="13" t="s">
        <v>19</v>
      </c>
      <c r="P207" s="22" t="s">
        <v>23</v>
      </c>
      <c r="Q207" s="13" t="s">
        <v>274</v>
      </c>
      <c r="R207" s="13"/>
    </row>
    <row r="208" spans="1:38" ht="15.75" customHeight="1" x14ac:dyDescent="0.2">
      <c r="A208" s="13" t="s">
        <v>309</v>
      </c>
      <c r="B208" s="13" t="s">
        <v>39</v>
      </c>
      <c r="C208" s="13" t="s">
        <v>309</v>
      </c>
      <c r="D208" s="13" t="s">
        <v>19</v>
      </c>
      <c r="E208" s="13" t="s">
        <v>19</v>
      </c>
      <c r="F208" s="22" t="s">
        <v>23</v>
      </c>
      <c r="G208" s="13" t="s">
        <v>19</v>
      </c>
      <c r="H208" s="22" t="s">
        <v>23</v>
      </c>
      <c r="I208" s="13" t="s">
        <v>19</v>
      </c>
      <c r="J208" s="22" t="s">
        <v>23</v>
      </c>
      <c r="K208" s="13" t="s">
        <v>19</v>
      </c>
      <c r="L208" s="22" t="s">
        <v>23</v>
      </c>
      <c r="M208" s="13" t="s">
        <v>19</v>
      </c>
      <c r="N208" s="16" t="s">
        <v>23</v>
      </c>
      <c r="O208" s="13" t="s">
        <v>19</v>
      </c>
      <c r="P208" s="22" t="s">
        <v>23</v>
      </c>
      <c r="Q208" s="13" t="s">
        <v>274</v>
      </c>
    </row>
    <row r="209" spans="1:38" ht="15.75" customHeight="1" x14ac:dyDescent="0.2">
      <c r="A209" s="41" t="s">
        <v>310</v>
      </c>
      <c r="B209" s="41" t="s">
        <v>18</v>
      </c>
      <c r="C209" s="41" t="s">
        <v>310</v>
      </c>
      <c r="D209" s="41" t="s">
        <v>19</v>
      </c>
      <c r="E209" s="41" t="s">
        <v>19</v>
      </c>
      <c r="F209" s="22" t="s">
        <v>23</v>
      </c>
      <c r="G209" s="41" t="s">
        <v>19</v>
      </c>
      <c r="H209" s="22" t="s">
        <v>23</v>
      </c>
      <c r="I209" s="41" t="s">
        <v>19</v>
      </c>
      <c r="J209" s="22" t="s">
        <v>23</v>
      </c>
      <c r="K209" s="41" t="s">
        <v>19</v>
      </c>
      <c r="L209" s="22" t="s">
        <v>23</v>
      </c>
      <c r="M209" s="41" t="s">
        <v>19</v>
      </c>
      <c r="N209" s="16" t="s">
        <v>23</v>
      </c>
      <c r="O209" s="41" t="s">
        <v>19</v>
      </c>
      <c r="P209" s="22" t="s">
        <v>23</v>
      </c>
      <c r="Q209" s="41" t="s">
        <v>274</v>
      </c>
      <c r="R209" s="44"/>
      <c r="S209" s="4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  <c r="AG209" s="4"/>
      <c r="AH209" s="4"/>
      <c r="AI209" s="4"/>
      <c r="AJ209" s="4"/>
      <c r="AK209" s="4"/>
      <c r="AL209" s="4"/>
    </row>
    <row r="210" spans="1:38" ht="15.75" customHeight="1" x14ac:dyDescent="0.2">
      <c r="A210" s="13" t="s">
        <v>311</v>
      </c>
      <c r="B210" s="13" t="s">
        <v>80</v>
      </c>
      <c r="C210" s="13" t="s">
        <v>311</v>
      </c>
      <c r="D210" s="13" t="s">
        <v>19</v>
      </c>
      <c r="E210" s="13" t="s">
        <v>19</v>
      </c>
      <c r="F210" s="22" t="s">
        <v>23</v>
      </c>
      <c r="G210" s="13" t="s">
        <v>19</v>
      </c>
      <c r="H210" s="22" t="s">
        <v>23</v>
      </c>
      <c r="I210" s="13" t="s">
        <v>19</v>
      </c>
      <c r="J210" s="22" t="s">
        <v>23</v>
      </c>
      <c r="K210" s="13" t="s">
        <v>19</v>
      </c>
      <c r="L210" s="22" t="s">
        <v>23</v>
      </c>
      <c r="M210" s="13" t="s">
        <v>19</v>
      </c>
      <c r="N210" s="16" t="s">
        <v>23</v>
      </c>
      <c r="O210" s="13" t="s">
        <v>19</v>
      </c>
      <c r="P210" s="22" t="s">
        <v>23</v>
      </c>
      <c r="Q210" s="13" t="s">
        <v>274</v>
      </c>
    </row>
    <row r="211" spans="1:38" ht="15.75" customHeight="1" x14ac:dyDescent="0.2">
      <c r="A211" s="58" t="s">
        <v>57</v>
      </c>
      <c r="B211" s="58" t="s">
        <v>58</v>
      </c>
      <c r="C211" s="58" t="s">
        <v>57</v>
      </c>
      <c r="D211" s="58" t="s">
        <v>22</v>
      </c>
      <c r="E211" s="82" t="s">
        <v>22</v>
      </c>
      <c r="F211" s="52" t="s">
        <v>23</v>
      </c>
      <c r="G211" s="82" t="s">
        <v>22</v>
      </c>
      <c r="H211" s="52" t="s">
        <v>23</v>
      </c>
      <c r="I211" s="82" t="s">
        <v>22</v>
      </c>
      <c r="J211" s="52" t="s">
        <v>23</v>
      </c>
      <c r="K211" s="82" t="s">
        <v>22</v>
      </c>
      <c r="L211" s="52"/>
      <c r="M211" s="82" t="s">
        <v>22</v>
      </c>
      <c r="N211" s="52" t="s">
        <v>23</v>
      </c>
      <c r="O211" s="82" t="s">
        <v>22</v>
      </c>
      <c r="P211" s="79" t="s">
        <v>23</v>
      </c>
      <c r="Q211" s="58" t="s">
        <v>29</v>
      </c>
      <c r="R211" s="54"/>
      <c r="S211" s="54"/>
    </row>
    <row r="212" spans="1:38" ht="15.75" customHeight="1" x14ac:dyDescent="0.2">
      <c r="A212" s="58" t="s">
        <v>62</v>
      </c>
      <c r="B212" s="58" t="s">
        <v>18</v>
      </c>
      <c r="C212" s="58"/>
      <c r="D212" s="58" t="s">
        <v>22</v>
      </c>
      <c r="E212" s="83"/>
      <c r="F212" s="82"/>
      <c r="G212" s="83"/>
      <c r="H212" s="82"/>
      <c r="I212" s="83"/>
      <c r="J212" s="82"/>
      <c r="K212" s="83"/>
      <c r="L212" s="82"/>
      <c r="M212" s="83"/>
      <c r="N212" s="52"/>
      <c r="O212" s="83"/>
      <c r="P212" s="51"/>
      <c r="Q212" s="58" t="s">
        <v>29</v>
      </c>
      <c r="R212" s="54" t="s">
        <v>43</v>
      </c>
      <c r="S212" s="54"/>
    </row>
    <row r="213" spans="1:38" ht="15.75" customHeight="1" x14ac:dyDescent="0.2">
      <c r="A213" s="58" t="s">
        <v>63</v>
      </c>
      <c r="B213" s="58" t="s">
        <v>18</v>
      </c>
      <c r="C213" s="58"/>
      <c r="D213" s="58" t="s">
        <v>19</v>
      </c>
      <c r="E213" s="82"/>
      <c r="F213" s="82"/>
      <c r="G213" s="82"/>
      <c r="H213" s="82"/>
      <c r="I213" s="82"/>
      <c r="J213" s="82"/>
      <c r="K213" s="82"/>
      <c r="L213" s="82"/>
      <c r="M213" s="82"/>
      <c r="N213" s="52"/>
      <c r="O213" s="82"/>
      <c r="P213" s="51"/>
      <c r="Q213" s="58" t="s">
        <v>29</v>
      </c>
      <c r="R213" s="54" t="s">
        <v>43</v>
      </c>
      <c r="S213" s="54"/>
    </row>
    <row r="214" spans="1:38" ht="15.75" customHeight="1" x14ac:dyDescent="0.2">
      <c r="A214" s="58" t="s">
        <v>74</v>
      </c>
      <c r="B214" s="58" t="s">
        <v>68</v>
      </c>
      <c r="C214" s="58" t="s">
        <v>74</v>
      </c>
      <c r="D214" s="58" t="s">
        <v>75</v>
      </c>
      <c r="E214" s="82" t="s">
        <v>22</v>
      </c>
      <c r="F214" s="82" t="s">
        <v>23</v>
      </c>
      <c r="G214" s="82" t="s">
        <v>22</v>
      </c>
      <c r="H214" s="82" t="s">
        <v>23</v>
      </c>
      <c r="I214" s="82" t="s">
        <v>22</v>
      </c>
      <c r="J214" s="82" t="s">
        <v>23</v>
      </c>
      <c r="K214" s="82" t="s">
        <v>22</v>
      </c>
      <c r="L214" s="82"/>
      <c r="M214" s="82" t="s">
        <v>22</v>
      </c>
      <c r="N214" s="52" t="s">
        <v>23</v>
      </c>
      <c r="O214" s="82" t="s">
        <v>22</v>
      </c>
      <c r="P214" s="79" t="s">
        <v>23</v>
      </c>
      <c r="Q214" s="58" t="s">
        <v>29</v>
      </c>
      <c r="R214" s="54" t="s">
        <v>76</v>
      </c>
      <c r="S214" s="54"/>
    </row>
    <row r="215" spans="1:38" ht="15.75" customHeight="1" x14ac:dyDescent="0.2">
      <c r="A215" s="58" t="s">
        <v>77</v>
      </c>
      <c r="B215" s="58" t="s">
        <v>68</v>
      </c>
      <c r="C215" s="58" t="s">
        <v>77</v>
      </c>
      <c r="D215" s="58" t="s">
        <v>22</v>
      </c>
      <c r="E215" s="82" t="s">
        <v>22</v>
      </c>
      <c r="F215" s="82" t="s">
        <v>23</v>
      </c>
      <c r="G215" s="82" t="s">
        <v>22</v>
      </c>
      <c r="H215" s="82" t="s">
        <v>23</v>
      </c>
      <c r="I215" s="82" t="s">
        <v>22</v>
      </c>
      <c r="J215" s="82" t="s">
        <v>23</v>
      </c>
      <c r="K215" s="82" t="s">
        <v>22</v>
      </c>
      <c r="L215" s="82"/>
      <c r="M215" s="82" t="s">
        <v>22</v>
      </c>
      <c r="N215" s="52" t="s">
        <v>23</v>
      </c>
      <c r="O215" s="82" t="s">
        <v>22</v>
      </c>
      <c r="P215" s="79" t="s">
        <v>23</v>
      </c>
      <c r="Q215" s="58" t="s">
        <v>29</v>
      </c>
      <c r="R215" s="54" t="s">
        <v>78</v>
      </c>
      <c r="S215" s="54"/>
    </row>
    <row r="216" spans="1:38" ht="15.75" customHeight="1" x14ac:dyDescent="0.2"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</row>
    <row r="217" spans="1:38" ht="15.75" customHeight="1" x14ac:dyDescent="0.2"/>
    <row r="218" spans="1:38" ht="15.75" customHeight="1" x14ac:dyDescent="0.2"/>
    <row r="219" spans="1:38" ht="15.75" customHeight="1" x14ac:dyDescent="0.2"/>
    <row r="220" spans="1:38" ht="15.75" customHeight="1" x14ac:dyDescent="0.2"/>
    <row r="221" spans="1:38" ht="15.75" customHeight="1" x14ac:dyDescent="0.2"/>
    <row r="222" spans="1:38" ht="15.75" customHeight="1" x14ac:dyDescent="0.2"/>
    <row r="223" spans="1:38" ht="15.75" customHeight="1" x14ac:dyDescent="0.2"/>
    <row r="224" spans="1:38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rintOptions gridLines="1"/>
  <pageMargins left="0.7" right="0.7" top="0.75" bottom="0.75" header="0" footer="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7694F3-7EEF-B64B-9E42-46BB44CEA36C}">
  <dimension ref="A1:G233"/>
  <sheetViews>
    <sheetView topLeftCell="A199" workbookViewId="0">
      <selection activeCell="B225" sqref="B225"/>
    </sheetView>
  </sheetViews>
  <sheetFormatPr baseColWidth="10" defaultRowHeight="16" x14ac:dyDescent="0.2"/>
  <cols>
    <col min="1" max="1" width="46.5" customWidth="1"/>
    <col min="4" max="4" width="30.5" customWidth="1"/>
    <col min="5" max="5" width="24" customWidth="1"/>
  </cols>
  <sheetData>
    <row r="1" spans="1:7" x14ac:dyDescent="0.2">
      <c r="A1" s="55" t="s">
        <v>20</v>
      </c>
      <c r="B1" s="57">
        <v>1</v>
      </c>
      <c r="C1" s="57" t="s">
        <v>349</v>
      </c>
      <c r="D1" s="13" t="s">
        <v>20</v>
      </c>
      <c r="E1" s="22" t="s">
        <v>21</v>
      </c>
    </row>
    <row r="2" spans="1:7" x14ac:dyDescent="0.2">
      <c r="A2" s="55" t="s">
        <v>24</v>
      </c>
      <c r="B2" s="57">
        <v>1</v>
      </c>
      <c r="C2" s="57" t="s">
        <v>350</v>
      </c>
      <c r="D2" s="24" t="s">
        <v>24</v>
      </c>
      <c r="E2" s="24" t="s">
        <v>21</v>
      </c>
      <c r="G2" t="b">
        <f t="shared" ref="G2:G24" si="0">EXACT(A2,D2)</f>
        <v>1</v>
      </c>
    </row>
    <row r="3" spans="1:7" x14ac:dyDescent="0.2">
      <c r="A3" s="55" t="s">
        <v>27</v>
      </c>
      <c r="B3" s="57">
        <v>1</v>
      </c>
      <c r="C3" s="57" t="s">
        <v>349</v>
      </c>
      <c r="D3" s="41" t="s">
        <v>27</v>
      </c>
      <c r="E3" s="41" t="s">
        <v>28</v>
      </c>
      <c r="G3" t="b">
        <f t="shared" si="0"/>
        <v>1</v>
      </c>
    </row>
    <row r="4" spans="1:7" x14ac:dyDescent="0.2">
      <c r="A4" s="55" t="s">
        <v>30</v>
      </c>
      <c r="B4" s="57">
        <v>1</v>
      </c>
      <c r="C4" s="57" t="s">
        <v>351</v>
      </c>
      <c r="D4" s="41" t="s">
        <v>30</v>
      </c>
      <c r="E4" s="41" t="s">
        <v>28</v>
      </c>
      <c r="G4" t="b">
        <f t="shared" si="0"/>
        <v>1</v>
      </c>
    </row>
    <row r="5" spans="1:7" x14ac:dyDescent="0.2">
      <c r="A5" s="55" t="s">
        <v>31</v>
      </c>
      <c r="B5" s="57">
        <v>1</v>
      </c>
      <c r="C5" s="57" t="s">
        <v>349</v>
      </c>
      <c r="D5" s="41" t="s">
        <v>31</v>
      </c>
      <c r="E5" s="41" t="s">
        <v>32</v>
      </c>
      <c r="G5" t="b">
        <f t="shared" si="0"/>
        <v>1</v>
      </c>
    </row>
    <row r="6" spans="1:7" x14ac:dyDescent="0.2">
      <c r="A6" s="55" t="s">
        <v>33</v>
      </c>
      <c r="B6" s="57">
        <v>1</v>
      </c>
      <c r="C6" s="57" t="s">
        <v>350</v>
      </c>
      <c r="D6" s="41" t="s">
        <v>33</v>
      </c>
      <c r="E6" s="41" t="s">
        <v>32</v>
      </c>
      <c r="G6" t="b">
        <f t="shared" si="0"/>
        <v>1</v>
      </c>
    </row>
    <row r="7" spans="1:7" x14ac:dyDescent="0.2">
      <c r="A7" s="55" t="s">
        <v>35</v>
      </c>
      <c r="B7" s="57">
        <v>1</v>
      </c>
      <c r="C7" s="57" t="s">
        <v>349</v>
      </c>
      <c r="D7" s="24" t="s">
        <v>35</v>
      </c>
      <c r="E7" s="24" t="s">
        <v>28</v>
      </c>
      <c r="G7" t="b">
        <f t="shared" si="0"/>
        <v>1</v>
      </c>
    </row>
    <row r="8" spans="1:7" x14ac:dyDescent="0.2">
      <c r="A8" s="55" t="s">
        <v>36</v>
      </c>
      <c r="B8" s="57">
        <v>1</v>
      </c>
      <c r="C8" s="57" t="s">
        <v>351</v>
      </c>
      <c r="D8" s="41" t="s">
        <v>36</v>
      </c>
      <c r="E8" s="41" t="s">
        <v>28</v>
      </c>
      <c r="G8" t="b">
        <f t="shared" si="0"/>
        <v>1</v>
      </c>
    </row>
    <row r="9" spans="1:7" x14ac:dyDescent="0.2">
      <c r="A9" s="55" t="s">
        <v>37</v>
      </c>
      <c r="B9" s="57">
        <v>1</v>
      </c>
      <c r="C9" s="57" t="s">
        <v>350</v>
      </c>
      <c r="D9" s="41" t="s">
        <v>37</v>
      </c>
      <c r="E9" s="41" t="s">
        <v>32</v>
      </c>
      <c r="G9" t="b">
        <f t="shared" si="0"/>
        <v>1</v>
      </c>
    </row>
    <row r="10" spans="1:7" x14ac:dyDescent="0.2">
      <c r="A10" s="55" t="s">
        <v>38</v>
      </c>
      <c r="B10" s="57">
        <v>1</v>
      </c>
      <c r="C10" s="57" t="s">
        <v>349</v>
      </c>
      <c r="D10" s="41" t="s">
        <v>38</v>
      </c>
      <c r="E10" s="41" t="s">
        <v>39</v>
      </c>
      <c r="G10" t="b">
        <f t="shared" si="0"/>
        <v>1</v>
      </c>
    </row>
    <row r="11" spans="1:7" x14ac:dyDescent="0.2">
      <c r="A11" s="55" t="s">
        <v>40</v>
      </c>
      <c r="B11" s="57">
        <v>1</v>
      </c>
      <c r="C11" s="57" t="s">
        <v>349</v>
      </c>
      <c r="D11" s="24" t="s">
        <v>40</v>
      </c>
      <c r="E11" s="24" t="s">
        <v>41</v>
      </c>
      <c r="G11" t="b">
        <f t="shared" si="0"/>
        <v>1</v>
      </c>
    </row>
    <row r="12" spans="1:7" x14ac:dyDescent="0.2">
      <c r="A12" s="55" t="s">
        <v>42</v>
      </c>
      <c r="B12" s="57">
        <v>1</v>
      </c>
      <c r="C12" s="57" t="s">
        <v>351</v>
      </c>
      <c r="D12" s="24" t="s">
        <v>42</v>
      </c>
      <c r="E12" s="24" t="s">
        <v>41</v>
      </c>
      <c r="G12" t="b">
        <f t="shared" si="0"/>
        <v>1</v>
      </c>
    </row>
    <row r="13" spans="1:7" x14ac:dyDescent="0.2">
      <c r="A13" s="55" t="s">
        <v>45</v>
      </c>
      <c r="B13" s="57">
        <v>1</v>
      </c>
      <c r="C13" s="57" t="s">
        <v>350</v>
      </c>
      <c r="D13" s="41" t="s">
        <v>45</v>
      </c>
      <c r="E13" s="41" t="s">
        <v>46</v>
      </c>
      <c r="G13" t="b">
        <f t="shared" si="0"/>
        <v>1</v>
      </c>
    </row>
    <row r="14" spans="1:7" x14ac:dyDescent="0.2">
      <c r="A14" s="55" t="s">
        <v>48</v>
      </c>
      <c r="B14" s="57">
        <v>1</v>
      </c>
      <c r="C14" s="57" t="s">
        <v>349</v>
      </c>
      <c r="D14" s="41" t="s">
        <v>48</v>
      </c>
      <c r="E14" s="41" t="s">
        <v>49</v>
      </c>
      <c r="G14" t="b">
        <f t="shared" si="0"/>
        <v>1</v>
      </c>
    </row>
    <row r="15" spans="1:7" x14ac:dyDescent="0.2">
      <c r="A15" s="55" t="s">
        <v>50</v>
      </c>
      <c r="B15" s="57">
        <v>1</v>
      </c>
      <c r="C15" s="57" t="s">
        <v>350</v>
      </c>
      <c r="D15" s="41" t="s">
        <v>50</v>
      </c>
      <c r="E15" s="41" t="s">
        <v>49</v>
      </c>
      <c r="G15" t="b">
        <f t="shared" si="0"/>
        <v>1</v>
      </c>
    </row>
    <row r="16" spans="1:7" x14ac:dyDescent="0.2">
      <c r="A16" s="55" t="s">
        <v>52</v>
      </c>
      <c r="B16" s="57">
        <v>1</v>
      </c>
      <c r="C16" s="57" t="s">
        <v>350</v>
      </c>
      <c r="D16" s="41" t="s">
        <v>52</v>
      </c>
      <c r="E16" s="41" t="s">
        <v>39</v>
      </c>
      <c r="G16" t="b">
        <f t="shared" si="0"/>
        <v>1</v>
      </c>
    </row>
    <row r="17" spans="1:7" x14ac:dyDescent="0.2">
      <c r="A17" s="55" t="s">
        <v>55</v>
      </c>
      <c r="B17" s="57">
        <v>1</v>
      </c>
      <c r="C17" s="57" t="s">
        <v>349</v>
      </c>
      <c r="D17" s="41" t="s">
        <v>55</v>
      </c>
      <c r="E17" s="41" t="s">
        <v>18</v>
      </c>
      <c r="G17" t="b">
        <f t="shared" si="0"/>
        <v>1</v>
      </c>
    </row>
    <row r="18" spans="1:7" x14ac:dyDescent="0.2">
      <c r="A18" s="55" t="s">
        <v>56</v>
      </c>
      <c r="B18" s="57">
        <v>1</v>
      </c>
      <c r="C18" s="57" t="s">
        <v>351</v>
      </c>
      <c r="D18" s="41" t="s">
        <v>56</v>
      </c>
      <c r="E18" s="41" t="s">
        <v>18</v>
      </c>
      <c r="G18" t="b">
        <f t="shared" si="0"/>
        <v>1</v>
      </c>
    </row>
    <row r="19" spans="1:7" x14ac:dyDescent="0.2">
      <c r="A19" s="55" t="s">
        <v>17</v>
      </c>
      <c r="B19" s="57">
        <v>1</v>
      </c>
      <c r="C19" s="57" t="s">
        <v>351</v>
      </c>
      <c r="D19" s="41" t="s">
        <v>17</v>
      </c>
      <c r="E19" s="41" t="s">
        <v>18</v>
      </c>
      <c r="G19" t="b">
        <f t="shared" si="0"/>
        <v>1</v>
      </c>
    </row>
    <row r="20" spans="1:7" x14ac:dyDescent="0.2">
      <c r="A20" s="55" t="s">
        <v>59</v>
      </c>
      <c r="B20" s="57">
        <v>1</v>
      </c>
      <c r="C20" s="57" t="s">
        <v>349</v>
      </c>
      <c r="D20" s="41" t="s">
        <v>59</v>
      </c>
      <c r="E20" s="41" t="s">
        <v>28</v>
      </c>
      <c r="G20" t="b">
        <f t="shared" si="0"/>
        <v>1</v>
      </c>
    </row>
    <row r="21" spans="1:7" x14ac:dyDescent="0.2">
      <c r="A21" s="55" t="s">
        <v>61</v>
      </c>
      <c r="B21" s="57">
        <v>1</v>
      </c>
      <c r="C21" s="57" t="s">
        <v>350</v>
      </c>
      <c r="D21" s="41" t="s">
        <v>61</v>
      </c>
      <c r="E21" s="41" t="s">
        <v>28</v>
      </c>
      <c r="G21" t="b">
        <f t="shared" si="0"/>
        <v>1</v>
      </c>
    </row>
    <row r="22" spans="1:7" x14ac:dyDescent="0.2">
      <c r="A22" s="55" t="s">
        <v>64</v>
      </c>
      <c r="B22" s="57">
        <v>1</v>
      </c>
      <c r="C22" s="57" t="s">
        <v>349</v>
      </c>
      <c r="D22" s="41" t="s">
        <v>64</v>
      </c>
      <c r="E22" s="41" t="s">
        <v>18</v>
      </c>
      <c r="G22" t="b">
        <f t="shared" si="0"/>
        <v>1</v>
      </c>
    </row>
    <row r="23" spans="1:7" x14ac:dyDescent="0.2">
      <c r="A23" s="55" t="s">
        <v>65</v>
      </c>
      <c r="B23" s="57">
        <v>1</v>
      </c>
      <c r="C23" s="57" t="s">
        <v>351</v>
      </c>
      <c r="D23" s="41" t="s">
        <v>65</v>
      </c>
      <c r="E23" s="41" t="s">
        <v>18</v>
      </c>
      <c r="G23" t="b">
        <f t="shared" si="0"/>
        <v>1</v>
      </c>
    </row>
    <row r="24" spans="1:7" x14ac:dyDescent="0.2">
      <c r="A24" s="55" t="s">
        <v>66</v>
      </c>
      <c r="B24" s="57">
        <v>1</v>
      </c>
      <c r="C24" s="57" t="s">
        <v>349</v>
      </c>
      <c r="D24" s="43" t="s">
        <v>66</v>
      </c>
      <c r="E24" s="41" t="s">
        <v>18</v>
      </c>
      <c r="G24" t="b">
        <f t="shared" si="0"/>
        <v>1</v>
      </c>
    </row>
    <row r="25" spans="1:7" x14ac:dyDescent="0.2">
      <c r="A25" s="55" t="s">
        <v>363</v>
      </c>
      <c r="B25" s="55" t="s">
        <v>364</v>
      </c>
      <c r="C25" s="55" t="s">
        <v>365</v>
      </c>
      <c r="D25" s="84" t="s">
        <v>0</v>
      </c>
      <c r="E25" s="84" t="s">
        <v>1</v>
      </c>
    </row>
    <row r="26" spans="1:7" x14ac:dyDescent="0.2">
      <c r="A26" s="55" t="s">
        <v>67</v>
      </c>
      <c r="B26" s="57">
        <v>1</v>
      </c>
      <c r="C26" s="57" t="s">
        <v>349</v>
      </c>
      <c r="D26" s="41" t="s">
        <v>67</v>
      </c>
      <c r="E26" s="41" t="s">
        <v>68</v>
      </c>
      <c r="G26" t="b">
        <f t="shared" ref="G26:G57" si="1">EXACT(A26,D26)</f>
        <v>1</v>
      </c>
    </row>
    <row r="27" spans="1:7" x14ac:dyDescent="0.2">
      <c r="A27" s="55" t="s">
        <v>70</v>
      </c>
      <c r="B27" s="57">
        <v>1</v>
      </c>
      <c r="C27" s="57" t="s">
        <v>350</v>
      </c>
      <c r="D27" s="41" t="s">
        <v>70</v>
      </c>
      <c r="E27" s="41" t="s">
        <v>58</v>
      </c>
      <c r="G27" t="b">
        <f t="shared" si="1"/>
        <v>1</v>
      </c>
    </row>
    <row r="28" spans="1:7" x14ac:dyDescent="0.2">
      <c r="A28" s="55" t="s">
        <v>73</v>
      </c>
      <c r="B28" s="57">
        <v>1</v>
      </c>
      <c r="C28" s="57" t="s">
        <v>350</v>
      </c>
      <c r="D28" s="41" t="s">
        <v>73</v>
      </c>
      <c r="E28" s="41" t="s">
        <v>58</v>
      </c>
      <c r="G28" t="b">
        <f t="shared" si="1"/>
        <v>1</v>
      </c>
    </row>
    <row r="29" spans="1:7" x14ac:dyDescent="0.2">
      <c r="A29" s="55" t="s">
        <v>79</v>
      </c>
      <c r="B29" s="57">
        <v>1</v>
      </c>
      <c r="C29" s="57" t="s">
        <v>349</v>
      </c>
      <c r="D29" s="41" t="s">
        <v>79</v>
      </c>
      <c r="E29" s="41" t="s">
        <v>80</v>
      </c>
      <c r="G29" t="b">
        <f t="shared" si="1"/>
        <v>1</v>
      </c>
    </row>
    <row r="30" spans="1:7" x14ac:dyDescent="0.2">
      <c r="A30" s="55" t="s">
        <v>81</v>
      </c>
      <c r="B30" s="57">
        <v>1</v>
      </c>
      <c r="C30" s="57" t="s">
        <v>351</v>
      </c>
      <c r="D30" s="41" t="s">
        <v>81</v>
      </c>
      <c r="E30" s="41" t="s">
        <v>80</v>
      </c>
      <c r="G30" t="b">
        <f t="shared" si="1"/>
        <v>1</v>
      </c>
    </row>
    <row r="31" spans="1:7" x14ac:dyDescent="0.2">
      <c r="A31" s="55" t="s">
        <v>83</v>
      </c>
      <c r="B31" s="57">
        <v>1</v>
      </c>
      <c r="C31" s="57" t="s">
        <v>350</v>
      </c>
      <c r="D31" s="24" t="s">
        <v>83</v>
      </c>
      <c r="E31" s="24" t="s">
        <v>84</v>
      </c>
      <c r="G31" t="b">
        <f t="shared" si="1"/>
        <v>1</v>
      </c>
    </row>
    <row r="32" spans="1:7" x14ac:dyDescent="0.2">
      <c r="A32" s="55" t="s">
        <v>86</v>
      </c>
      <c r="B32" s="57">
        <v>1</v>
      </c>
      <c r="C32" s="57" t="s">
        <v>349</v>
      </c>
      <c r="D32" s="41" t="s">
        <v>86</v>
      </c>
      <c r="E32" s="41" t="s">
        <v>87</v>
      </c>
      <c r="G32" t="b">
        <f t="shared" si="1"/>
        <v>1</v>
      </c>
    </row>
    <row r="33" spans="1:7" x14ac:dyDescent="0.2">
      <c r="A33" s="55" t="s">
        <v>88</v>
      </c>
      <c r="B33" s="57">
        <v>1</v>
      </c>
      <c r="C33" s="57" t="s">
        <v>350</v>
      </c>
      <c r="D33" s="41" t="s">
        <v>88</v>
      </c>
      <c r="E33" s="41" t="s">
        <v>18</v>
      </c>
      <c r="G33" t="b">
        <f t="shared" si="1"/>
        <v>1</v>
      </c>
    </row>
    <row r="34" spans="1:7" x14ac:dyDescent="0.2">
      <c r="A34" s="55" t="s">
        <v>89</v>
      </c>
      <c r="B34" s="57">
        <v>1</v>
      </c>
      <c r="C34" s="57" t="s">
        <v>350</v>
      </c>
      <c r="D34" s="41" t="s">
        <v>89</v>
      </c>
      <c r="E34" s="41" t="s">
        <v>18</v>
      </c>
      <c r="G34" t="b">
        <f t="shared" si="1"/>
        <v>1</v>
      </c>
    </row>
    <row r="35" spans="1:7" x14ac:dyDescent="0.2">
      <c r="A35" s="55" t="s">
        <v>90</v>
      </c>
      <c r="B35" s="57">
        <v>1</v>
      </c>
      <c r="C35" s="57" t="s">
        <v>349</v>
      </c>
      <c r="D35" s="41" t="s">
        <v>90</v>
      </c>
      <c r="E35" s="41" t="s">
        <v>91</v>
      </c>
      <c r="G35" t="b">
        <f t="shared" si="1"/>
        <v>1</v>
      </c>
    </row>
    <row r="36" spans="1:7" x14ac:dyDescent="0.2">
      <c r="A36" s="55" t="s">
        <v>92</v>
      </c>
      <c r="B36" s="57">
        <v>1</v>
      </c>
      <c r="C36" s="57" t="s">
        <v>350</v>
      </c>
      <c r="D36" s="41" t="s">
        <v>92</v>
      </c>
      <c r="E36" s="41" t="s">
        <v>91</v>
      </c>
      <c r="G36" t="b">
        <f t="shared" si="1"/>
        <v>1</v>
      </c>
    </row>
    <row r="37" spans="1:7" x14ac:dyDescent="0.2">
      <c r="A37" s="55" t="s">
        <v>93</v>
      </c>
      <c r="B37" s="57">
        <v>1</v>
      </c>
      <c r="C37" s="57" t="s">
        <v>350</v>
      </c>
      <c r="D37" s="41" t="s">
        <v>93</v>
      </c>
      <c r="E37" s="41" t="s">
        <v>87</v>
      </c>
      <c r="G37" t="b">
        <f t="shared" si="1"/>
        <v>1</v>
      </c>
    </row>
    <row r="38" spans="1:7" x14ac:dyDescent="0.2">
      <c r="A38" s="55" t="s">
        <v>94</v>
      </c>
      <c r="B38" s="57">
        <v>1</v>
      </c>
      <c r="C38" s="57" t="s">
        <v>350</v>
      </c>
      <c r="D38" s="41" t="s">
        <v>94</v>
      </c>
      <c r="E38" s="41" t="s">
        <v>18</v>
      </c>
      <c r="G38" t="b">
        <f t="shared" si="1"/>
        <v>1</v>
      </c>
    </row>
    <row r="39" spans="1:7" x14ac:dyDescent="0.2">
      <c r="A39" s="55" t="s">
        <v>96</v>
      </c>
      <c r="B39" s="57">
        <v>1</v>
      </c>
      <c r="C39" s="57" t="s">
        <v>349</v>
      </c>
      <c r="D39" s="41" t="s">
        <v>96</v>
      </c>
      <c r="E39" s="41" t="s">
        <v>97</v>
      </c>
      <c r="G39" t="b">
        <f t="shared" si="1"/>
        <v>1</v>
      </c>
    </row>
    <row r="40" spans="1:7" x14ac:dyDescent="0.2">
      <c r="A40" s="55" t="s">
        <v>99</v>
      </c>
      <c r="B40" s="57">
        <v>1</v>
      </c>
      <c r="C40" s="57" t="s">
        <v>350</v>
      </c>
      <c r="D40" s="41" t="s">
        <v>99</v>
      </c>
      <c r="E40" s="41" t="s">
        <v>100</v>
      </c>
      <c r="G40" t="b">
        <f t="shared" si="1"/>
        <v>1</v>
      </c>
    </row>
    <row r="41" spans="1:7" x14ac:dyDescent="0.2">
      <c r="A41" s="55" t="s">
        <v>101</v>
      </c>
      <c r="B41" s="57">
        <v>1</v>
      </c>
      <c r="C41" s="57" t="s">
        <v>349</v>
      </c>
      <c r="D41" s="41" t="s">
        <v>101</v>
      </c>
      <c r="E41" s="41" t="s">
        <v>18</v>
      </c>
      <c r="G41" t="b">
        <f t="shared" si="1"/>
        <v>1</v>
      </c>
    </row>
    <row r="42" spans="1:7" x14ac:dyDescent="0.2">
      <c r="A42" s="55" t="s">
        <v>102</v>
      </c>
      <c r="B42" s="57">
        <v>1</v>
      </c>
      <c r="C42" s="57" t="s">
        <v>351</v>
      </c>
      <c r="D42" s="41" t="s">
        <v>102</v>
      </c>
      <c r="E42" s="41" t="s">
        <v>18</v>
      </c>
      <c r="G42" t="b">
        <f t="shared" si="1"/>
        <v>1</v>
      </c>
    </row>
    <row r="43" spans="1:7" x14ac:dyDescent="0.2">
      <c r="A43" s="55" t="s">
        <v>104</v>
      </c>
      <c r="B43" s="57">
        <v>1</v>
      </c>
      <c r="C43" s="57" t="s">
        <v>349</v>
      </c>
      <c r="D43" s="41" t="s">
        <v>104</v>
      </c>
      <c r="E43" s="41" t="s">
        <v>80</v>
      </c>
      <c r="G43" t="b">
        <f t="shared" si="1"/>
        <v>1</v>
      </c>
    </row>
    <row r="44" spans="1:7" x14ac:dyDescent="0.2">
      <c r="A44" s="55" t="s">
        <v>106</v>
      </c>
      <c r="B44" s="57">
        <v>1</v>
      </c>
      <c r="C44" s="57" t="s">
        <v>350</v>
      </c>
      <c r="D44" s="41" t="s">
        <v>106</v>
      </c>
      <c r="E44" s="41" t="s">
        <v>80</v>
      </c>
      <c r="G44" t="b">
        <f t="shared" si="1"/>
        <v>1</v>
      </c>
    </row>
    <row r="45" spans="1:7" x14ac:dyDescent="0.2">
      <c r="A45" s="55" t="s">
        <v>107</v>
      </c>
      <c r="B45" s="57">
        <v>1</v>
      </c>
      <c r="C45" s="57" t="s">
        <v>349</v>
      </c>
      <c r="D45" s="41" t="s">
        <v>107</v>
      </c>
      <c r="E45" s="41" t="s">
        <v>80</v>
      </c>
      <c r="G45" t="b">
        <f t="shared" si="1"/>
        <v>1</v>
      </c>
    </row>
    <row r="46" spans="1:7" x14ac:dyDescent="0.2">
      <c r="A46" s="55" t="s">
        <v>109</v>
      </c>
      <c r="B46" s="57">
        <v>1</v>
      </c>
      <c r="C46" s="57" t="s">
        <v>350</v>
      </c>
      <c r="D46" s="41" t="s">
        <v>109</v>
      </c>
      <c r="E46" s="41" t="s">
        <v>80</v>
      </c>
      <c r="G46" t="b">
        <f t="shared" si="1"/>
        <v>1</v>
      </c>
    </row>
    <row r="47" spans="1:7" x14ac:dyDescent="0.2">
      <c r="A47" s="55" t="s">
        <v>110</v>
      </c>
      <c r="B47" s="57">
        <v>1</v>
      </c>
      <c r="C47" s="57" t="s">
        <v>349</v>
      </c>
      <c r="D47" s="41" t="s">
        <v>110</v>
      </c>
      <c r="E47" s="41" t="s">
        <v>18</v>
      </c>
      <c r="G47" t="b">
        <f t="shared" si="1"/>
        <v>1</v>
      </c>
    </row>
    <row r="48" spans="1:7" x14ac:dyDescent="0.2">
      <c r="A48" s="55" t="s">
        <v>111</v>
      </c>
      <c r="B48" s="57">
        <v>1</v>
      </c>
      <c r="C48" s="57" t="s">
        <v>351</v>
      </c>
      <c r="D48" s="41" t="s">
        <v>111</v>
      </c>
      <c r="E48" s="41" t="s">
        <v>18</v>
      </c>
      <c r="G48" t="b">
        <f t="shared" si="1"/>
        <v>1</v>
      </c>
    </row>
    <row r="49" spans="1:7" x14ac:dyDescent="0.2">
      <c r="A49" s="55" t="s">
        <v>112</v>
      </c>
      <c r="B49" s="57">
        <v>1</v>
      </c>
      <c r="C49" s="57" t="s">
        <v>351</v>
      </c>
      <c r="D49" s="24" t="s">
        <v>112</v>
      </c>
      <c r="E49" s="24" t="s">
        <v>39</v>
      </c>
      <c r="G49" t="b">
        <f t="shared" si="1"/>
        <v>1</v>
      </c>
    </row>
    <row r="50" spans="1:7" x14ac:dyDescent="0.2">
      <c r="A50" s="55" t="s">
        <v>115</v>
      </c>
      <c r="B50" s="57">
        <v>1</v>
      </c>
      <c r="C50" s="57" t="s">
        <v>349</v>
      </c>
      <c r="D50" s="13" t="s">
        <v>115</v>
      </c>
      <c r="E50" s="13" t="s">
        <v>116</v>
      </c>
      <c r="G50" t="b">
        <f t="shared" si="1"/>
        <v>1</v>
      </c>
    </row>
    <row r="51" spans="1:7" x14ac:dyDescent="0.2">
      <c r="A51" s="55" t="s">
        <v>117</v>
      </c>
      <c r="B51" s="57">
        <v>1</v>
      </c>
      <c r="C51" s="57" t="s">
        <v>350</v>
      </c>
      <c r="D51" s="13" t="s">
        <v>117</v>
      </c>
      <c r="E51" s="13" t="s">
        <v>116</v>
      </c>
      <c r="G51" t="b">
        <f t="shared" si="1"/>
        <v>1</v>
      </c>
    </row>
    <row r="52" spans="1:7" x14ac:dyDescent="0.2">
      <c r="A52" s="55" t="s">
        <v>118</v>
      </c>
      <c r="B52" s="57">
        <v>1</v>
      </c>
      <c r="C52" s="57" t="s">
        <v>349</v>
      </c>
      <c r="D52" s="41" t="s">
        <v>118</v>
      </c>
      <c r="E52" s="41" t="s">
        <v>119</v>
      </c>
      <c r="G52" t="b">
        <f t="shared" si="1"/>
        <v>1</v>
      </c>
    </row>
    <row r="53" spans="1:7" x14ac:dyDescent="0.2">
      <c r="A53" s="55" t="s">
        <v>120</v>
      </c>
      <c r="B53" s="57">
        <v>1</v>
      </c>
      <c r="C53" s="57" t="s">
        <v>349</v>
      </c>
      <c r="D53" s="41" t="s">
        <v>120</v>
      </c>
      <c r="E53" s="41" t="s">
        <v>18</v>
      </c>
      <c r="G53" t="b">
        <f t="shared" si="1"/>
        <v>1</v>
      </c>
    </row>
    <row r="54" spans="1:7" x14ac:dyDescent="0.2">
      <c r="A54" s="55" t="s">
        <v>121</v>
      </c>
      <c r="B54" s="57">
        <v>1</v>
      </c>
      <c r="C54" s="57" t="s">
        <v>349</v>
      </c>
      <c r="D54" s="41" t="s">
        <v>121</v>
      </c>
      <c r="E54" s="41" t="s">
        <v>39</v>
      </c>
      <c r="G54" t="b">
        <f t="shared" si="1"/>
        <v>1</v>
      </c>
    </row>
    <row r="55" spans="1:7" x14ac:dyDescent="0.2">
      <c r="A55" s="55" t="s">
        <v>122</v>
      </c>
      <c r="B55" s="57">
        <v>1</v>
      </c>
      <c r="C55" s="57" t="s">
        <v>349</v>
      </c>
      <c r="D55" s="41" t="s">
        <v>122</v>
      </c>
      <c r="E55" s="41" t="s">
        <v>39</v>
      </c>
      <c r="G55" t="b">
        <f t="shared" si="1"/>
        <v>1</v>
      </c>
    </row>
    <row r="56" spans="1:7" x14ac:dyDescent="0.2">
      <c r="A56" s="55" t="s">
        <v>123</v>
      </c>
      <c r="B56" s="57">
        <v>1</v>
      </c>
      <c r="C56" s="57" t="s">
        <v>350</v>
      </c>
      <c r="D56" s="41" t="s">
        <v>123</v>
      </c>
      <c r="E56" s="41" t="s">
        <v>39</v>
      </c>
      <c r="G56" t="b">
        <f t="shared" si="1"/>
        <v>1</v>
      </c>
    </row>
    <row r="57" spans="1:7" x14ac:dyDescent="0.2">
      <c r="A57" s="55" t="s">
        <v>125</v>
      </c>
      <c r="B57" s="57">
        <v>1</v>
      </c>
      <c r="C57" s="57" t="s">
        <v>349</v>
      </c>
      <c r="D57" s="41" t="s">
        <v>125</v>
      </c>
      <c r="E57" s="41" t="s">
        <v>39</v>
      </c>
      <c r="G57" t="b">
        <f t="shared" si="1"/>
        <v>1</v>
      </c>
    </row>
    <row r="58" spans="1:7" x14ac:dyDescent="0.2">
      <c r="A58" s="55" t="s">
        <v>126</v>
      </c>
      <c r="B58" s="57">
        <v>1</v>
      </c>
      <c r="C58" s="57" t="s">
        <v>350</v>
      </c>
      <c r="D58" s="41" t="s">
        <v>126</v>
      </c>
      <c r="E58" s="41" t="s">
        <v>39</v>
      </c>
      <c r="G58" t="b">
        <f t="shared" ref="G58:G89" si="2">EXACT(A58,D58)</f>
        <v>1</v>
      </c>
    </row>
    <row r="59" spans="1:7" x14ac:dyDescent="0.2">
      <c r="A59" s="55" t="s">
        <v>127</v>
      </c>
      <c r="B59" s="57">
        <v>1</v>
      </c>
      <c r="C59" s="57" t="s">
        <v>349</v>
      </c>
      <c r="D59" s="41" t="s">
        <v>127</v>
      </c>
      <c r="E59" s="41" t="s">
        <v>39</v>
      </c>
      <c r="G59" t="b">
        <f t="shared" si="2"/>
        <v>1</v>
      </c>
    </row>
    <row r="60" spans="1:7" x14ac:dyDescent="0.2">
      <c r="A60" s="55" t="s">
        <v>128</v>
      </c>
      <c r="B60" s="57">
        <v>1</v>
      </c>
      <c r="C60" s="57" t="s">
        <v>351</v>
      </c>
      <c r="D60" s="41" t="s">
        <v>128</v>
      </c>
      <c r="E60" s="41" t="s">
        <v>39</v>
      </c>
      <c r="G60" t="b">
        <f t="shared" si="2"/>
        <v>1</v>
      </c>
    </row>
    <row r="61" spans="1:7" x14ac:dyDescent="0.2">
      <c r="A61" s="55" t="s">
        <v>129</v>
      </c>
      <c r="B61" s="57">
        <v>1</v>
      </c>
      <c r="C61" s="57" t="s">
        <v>349</v>
      </c>
      <c r="D61" s="41" t="s">
        <v>129</v>
      </c>
      <c r="E61" s="41" t="s">
        <v>39</v>
      </c>
      <c r="G61" t="b">
        <f t="shared" si="2"/>
        <v>1</v>
      </c>
    </row>
    <row r="62" spans="1:7" x14ac:dyDescent="0.2">
      <c r="A62" s="55" t="s">
        <v>130</v>
      </c>
      <c r="B62" s="57">
        <v>1</v>
      </c>
      <c r="C62" s="57" t="s">
        <v>351</v>
      </c>
      <c r="D62" s="41" t="s">
        <v>130</v>
      </c>
      <c r="E62" s="41" t="s">
        <v>39</v>
      </c>
      <c r="G62" t="b">
        <f t="shared" si="2"/>
        <v>1</v>
      </c>
    </row>
    <row r="63" spans="1:7" x14ac:dyDescent="0.2">
      <c r="A63" s="55" t="s">
        <v>131</v>
      </c>
      <c r="B63" s="57">
        <v>1</v>
      </c>
      <c r="C63" s="57" t="s">
        <v>349</v>
      </c>
      <c r="D63" s="41" t="s">
        <v>131</v>
      </c>
      <c r="E63" s="41" t="s">
        <v>39</v>
      </c>
      <c r="G63" t="b">
        <f t="shared" si="2"/>
        <v>1</v>
      </c>
    </row>
    <row r="64" spans="1:7" x14ac:dyDescent="0.2">
      <c r="A64" s="55" t="s">
        <v>132</v>
      </c>
      <c r="B64" s="57">
        <v>1</v>
      </c>
      <c r="C64" s="57" t="s">
        <v>349</v>
      </c>
      <c r="D64" s="41" t="s">
        <v>132</v>
      </c>
      <c r="E64" s="41" t="s">
        <v>39</v>
      </c>
      <c r="G64" t="b">
        <f t="shared" si="2"/>
        <v>1</v>
      </c>
    </row>
    <row r="65" spans="1:7" x14ac:dyDescent="0.2">
      <c r="A65" s="55" t="s">
        <v>133</v>
      </c>
      <c r="B65" s="57">
        <v>1</v>
      </c>
      <c r="C65" s="57" t="s">
        <v>349</v>
      </c>
      <c r="D65" s="41" t="s">
        <v>133</v>
      </c>
      <c r="E65" s="41" t="s">
        <v>39</v>
      </c>
      <c r="G65" t="b">
        <f t="shared" si="2"/>
        <v>1</v>
      </c>
    </row>
    <row r="66" spans="1:7" x14ac:dyDescent="0.2">
      <c r="A66" s="55" t="s">
        <v>134</v>
      </c>
      <c r="B66" s="57">
        <v>1</v>
      </c>
      <c r="C66" s="57" t="s">
        <v>350</v>
      </c>
      <c r="D66" s="41" t="s">
        <v>134</v>
      </c>
      <c r="E66" s="41" t="s">
        <v>39</v>
      </c>
      <c r="G66" t="b">
        <f t="shared" si="2"/>
        <v>1</v>
      </c>
    </row>
    <row r="67" spans="1:7" x14ac:dyDescent="0.2">
      <c r="A67" s="55" t="s">
        <v>135</v>
      </c>
      <c r="B67" s="57">
        <v>1</v>
      </c>
      <c r="C67" s="57" t="s">
        <v>349</v>
      </c>
      <c r="D67" s="41" t="s">
        <v>135</v>
      </c>
      <c r="E67" s="41" t="s">
        <v>39</v>
      </c>
      <c r="G67" t="b">
        <f t="shared" si="2"/>
        <v>1</v>
      </c>
    </row>
    <row r="68" spans="1:7" x14ac:dyDescent="0.2">
      <c r="A68" s="55" t="s">
        <v>136</v>
      </c>
      <c r="B68" s="57">
        <v>1</v>
      </c>
      <c r="C68" s="57" t="s">
        <v>349</v>
      </c>
      <c r="D68" s="41" t="s">
        <v>136</v>
      </c>
      <c r="E68" s="41" t="s">
        <v>18</v>
      </c>
      <c r="G68" t="b">
        <f t="shared" si="2"/>
        <v>1</v>
      </c>
    </row>
    <row r="69" spans="1:7" x14ac:dyDescent="0.2">
      <c r="A69" s="55" t="s">
        <v>137</v>
      </c>
      <c r="B69" s="57">
        <v>1</v>
      </c>
      <c r="C69" s="57" t="s">
        <v>349</v>
      </c>
      <c r="D69" s="41" t="s">
        <v>137</v>
      </c>
      <c r="E69" s="41" t="s">
        <v>116</v>
      </c>
      <c r="G69" t="b">
        <f t="shared" si="2"/>
        <v>1</v>
      </c>
    </row>
    <row r="70" spans="1:7" x14ac:dyDescent="0.2">
      <c r="A70" s="55" t="s">
        <v>138</v>
      </c>
      <c r="B70" s="57">
        <v>1</v>
      </c>
      <c r="C70" s="57" t="s">
        <v>349</v>
      </c>
      <c r="D70" s="41" t="s">
        <v>138</v>
      </c>
      <c r="E70" s="41" t="s">
        <v>116</v>
      </c>
      <c r="G70" t="b">
        <f t="shared" si="2"/>
        <v>1</v>
      </c>
    </row>
    <row r="71" spans="1:7" x14ac:dyDescent="0.2">
      <c r="A71" s="55" t="s">
        <v>139</v>
      </c>
      <c r="B71" s="57">
        <v>1</v>
      </c>
      <c r="C71" s="57" t="s">
        <v>350</v>
      </c>
      <c r="D71" s="41" t="s">
        <v>139</v>
      </c>
      <c r="E71" s="41" t="s">
        <v>116</v>
      </c>
      <c r="G71" t="b">
        <f t="shared" si="2"/>
        <v>1</v>
      </c>
    </row>
    <row r="72" spans="1:7" x14ac:dyDescent="0.2">
      <c r="A72" s="55" t="s">
        <v>140</v>
      </c>
      <c r="B72" s="57">
        <v>1</v>
      </c>
      <c r="C72" s="57" t="s">
        <v>349</v>
      </c>
      <c r="D72" s="41" t="s">
        <v>140</v>
      </c>
      <c r="E72" s="41" t="s">
        <v>116</v>
      </c>
      <c r="G72" t="b">
        <f t="shared" si="2"/>
        <v>1</v>
      </c>
    </row>
    <row r="73" spans="1:7" x14ac:dyDescent="0.2">
      <c r="A73" s="55" t="s">
        <v>141</v>
      </c>
      <c r="B73" s="57">
        <v>1</v>
      </c>
      <c r="C73" s="57" t="s">
        <v>351</v>
      </c>
      <c r="D73" s="41" t="s">
        <v>141</v>
      </c>
      <c r="E73" s="41" t="s">
        <v>116</v>
      </c>
      <c r="G73" t="b">
        <f t="shared" si="2"/>
        <v>1</v>
      </c>
    </row>
    <row r="74" spans="1:7" x14ac:dyDescent="0.2">
      <c r="A74" s="55" t="s">
        <v>142</v>
      </c>
      <c r="B74" s="57">
        <v>1</v>
      </c>
      <c r="C74" s="57" t="s">
        <v>349</v>
      </c>
      <c r="D74" s="41" t="s">
        <v>142</v>
      </c>
      <c r="E74" s="41" t="s">
        <v>18</v>
      </c>
      <c r="G74" t="b">
        <f t="shared" si="2"/>
        <v>1</v>
      </c>
    </row>
    <row r="75" spans="1:7" x14ac:dyDescent="0.2">
      <c r="A75" s="55" t="s">
        <v>143</v>
      </c>
      <c r="B75" s="57">
        <v>1</v>
      </c>
      <c r="C75" s="57" t="s">
        <v>349</v>
      </c>
      <c r="D75" s="41" t="s">
        <v>143</v>
      </c>
      <c r="E75" s="41" t="s">
        <v>144</v>
      </c>
      <c r="G75" t="b">
        <f t="shared" si="2"/>
        <v>1</v>
      </c>
    </row>
    <row r="76" spans="1:7" x14ac:dyDescent="0.2">
      <c r="A76" s="55" t="s">
        <v>145</v>
      </c>
      <c r="B76" s="57">
        <v>1</v>
      </c>
      <c r="C76" s="57" t="s">
        <v>349</v>
      </c>
      <c r="D76" s="41" t="s">
        <v>145</v>
      </c>
      <c r="E76" s="41" t="s">
        <v>116</v>
      </c>
      <c r="G76" t="b">
        <f t="shared" si="2"/>
        <v>1</v>
      </c>
    </row>
    <row r="77" spans="1:7" x14ac:dyDescent="0.2">
      <c r="A77" s="55" t="s">
        <v>146</v>
      </c>
      <c r="B77" s="57">
        <v>1</v>
      </c>
      <c r="C77" s="57" t="s">
        <v>349</v>
      </c>
      <c r="D77" s="41" t="s">
        <v>146</v>
      </c>
      <c r="E77" s="41" t="s">
        <v>18</v>
      </c>
      <c r="G77" t="b">
        <f t="shared" si="2"/>
        <v>1</v>
      </c>
    </row>
    <row r="78" spans="1:7" x14ac:dyDescent="0.2">
      <c r="A78" s="55" t="s">
        <v>147</v>
      </c>
      <c r="B78" s="57">
        <v>1</v>
      </c>
      <c r="C78" s="57" t="s">
        <v>349</v>
      </c>
      <c r="D78" s="41" t="s">
        <v>147</v>
      </c>
      <c r="E78" s="41" t="s">
        <v>18</v>
      </c>
      <c r="G78" t="b">
        <f t="shared" si="2"/>
        <v>1</v>
      </c>
    </row>
    <row r="79" spans="1:7" x14ac:dyDescent="0.2">
      <c r="A79" s="55" t="s">
        <v>148</v>
      </c>
      <c r="B79" s="57">
        <v>1</v>
      </c>
      <c r="C79" s="57" t="s">
        <v>350</v>
      </c>
      <c r="D79" s="41" t="s">
        <v>148</v>
      </c>
      <c r="E79" s="41" t="s">
        <v>18</v>
      </c>
      <c r="G79" t="b">
        <f t="shared" si="2"/>
        <v>1</v>
      </c>
    </row>
    <row r="80" spans="1:7" x14ac:dyDescent="0.2">
      <c r="A80" s="55" t="s">
        <v>150</v>
      </c>
      <c r="B80" s="57">
        <v>1</v>
      </c>
      <c r="C80" s="57" t="s">
        <v>349</v>
      </c>
      <c r="D80" s="41" t="s">
        <v>150</v>
      </c>
      <c r="E80" s="41" t="s">
        <v>18</v>
      </c>
      <c r="G80" t="b">
        <f t="shared" si="2"/>
        <v>1</v>
      </c>
    </row>
    <row r="81" spans="1:7" x14ac:dyDescent="0.2">
      <c r="A81" s="55" t="s">
        <v>151</v>
      </c>
      <c r="B81" s="57">
        <v>1</v>
      </c>
      <c r="C81" s="57" t="s">
        <v>349</v>
      </c>
      <c r="D81" s="41" t="s">
        <v>151</v>
      </c>
      <c r="E81" s="41" t="s">
        <v>144</v>
      </c>
      <c r="G81" t="b">
        <f t="shared" si="2"/>
        <v>1</v>
      </c>
    </row>
    <row r="82" spans="1:7" x14ac:dyDescent="0.2">
      <c r="A82" s="55" t="s">
        <v>153</v>
      </c>
      <c r="B82" s="57">
        <v>1</v>
      </c>
      <c r="C82" s="57" t="s">
        <v>349</v>
      </c>
      <c r="D82" s="41" t="s">
        <v>153</v>
      </c>
      <c r="E82" s="41" t="s">
        <v>116</v>
      </c>
      <c r="G82" t="b">
        <f t="shared" si="2"/>
        <v>1</v>
      </c>
    </row>
    <row r="83" spans="1:7" x14ac:dyDescent="0.2">
      <c r="A83" s="55" t="s">
        <v>154</v>
      </c>
      <c r="B83" s="57">
        <v>1</v>
      </c>
      <c r="C83" s="57" t="s">
        <v>349</v>
      </c>
      <c r="D83" s="41" t="s">
        <v>154</v>
      </c>
      <c r="E83" s="41" t="s">
        <v>144</v>
      </c>
      <c r="G83" t="b">
        <f t="shared" si="2"/>
        <v>1</v>
      </c>
    </row>
    <row r="84" spans="1:7" x14ac:dyDescent="0.2">
      <c r="A84" s="55" t="s">
        <v>157</v>
      </c>
      <c r="B84" s="57">
        <v>1</v>
      </c>
      <c r="C84" s="57" t="s">
        <v>349</v>
      </c>
      <c r="D84" s="41" t="s">
        <v>157</v>
      </c>
      <c r="E84" s="41" t="s">
        <v>144</v>
      </c>
      <c r="G84" t="b">
        <f t="shared" si="2"/>
        <v>1</v>
      </c>
    </row>
    <row r="85" spans="1:7" x14ac:dyDescent="0.2">
      <c r="A85" s="55" t="s">
        <v>158</v>
      </c>
      <c r="B85" s="57">
        <v>1</v>
      </c>
      <c r="C85" s="57" t="s">
        <v>349</v>
      </c>
      <c r="D85" s="41" t="s">
        <v>158</v>
      </c>
      <c r="E85" s="41" t="s">
        <v>144</v>
      </c>
      <c r="G85" t="b">
        <f t="shared" si="2"/>
        <v>1</v>
      </c>
    </row>
    <row r="86" spans="1:7" x14ac:dyDescent="0.2">
      <c r="A86" s="55" t="s">
        <v>159</v>
      </c>
      <c r="B86" s="57">
        <v>1</v>
      </c>
      <c r="C86" s="57" t="s">
        <v>349</v>
      </c>
      <c r="D86" s="41" t="s">
        <v>159</v>
      </c>
      <c r="E86" s="41" t="s">
        <v>18</v>
      </c>
      <c r="G86" t="b">
        <f t="shared" si="2"/>
        <v>1</v>
      </c>
    </row>
    <row r="87" spans="1:7" x14ac:dyDescent="0.2">
      <c r="A87" s="55" t="s">
        <v>160</v>
      </c>
      <c r="B87" s="57">
        <v>1</v>
      </c>
      <c r="C87" s="57" t="s">
        <v>349</v>
      </c>
      <c r="D87" s="41" t="s">
        <v>160</v>
      </c>
      <c r="E87" s="41" t="s">
        <v>161</v>
      </c>
      <c r="G87" t="b">
        <f t="shared" si="2"/>
        <v>1</v>
      </c>
    </row>
    <row r="88" spans="1:7" x14ac:dyDescent="0.2">
      <c r="A88" s="55" t="s">
        <v>162</v>
      </c>
      <c r="B88" s="57">
        <v>1</v>
      </c>
      <c r="C88" s="57" t="s">
        <v>349</v>
      </c>
      <c r="D88" s="41" t="s">
        <v>162</v>
      </c>
      <c r="E88" s="41" t="s">
        <v>163</v>
      </c>
      <c r="G88" t="b">
        <f t="shared" si="2"/>
        <v>1</v>
      </c>
    </row>
    <row r="89" spans="1:7" x14ac:dyDescent="0.2">
      <c r="A89" s="55" t="s">
        <v>164</v>
      </c>
      <c r="B89" s="57">
        <v>1</v>
      </c>
      <c r="C89" s="57" t="s">
        <v>349</v>
      </c>
      <c r="D89" s="41" t="s">
        <v>164</v>
      </c>
      <c r="E89" s="41" t="s">
        <v>18</v>
      </c>
      <c r="G89" t="b">
        <f t="shared" si="2"/>
        <v>1</v>
      </c>
    </row>
    <row r="90" spans="1:7" x14ac:dyDescent="0.2">
      <c r="A90" s="55" t="s">
        <v>165</v>
      </c>
      <c r="B90" s="57">
        <v>1</v>
      </c>
      <c r="C90" s="57" t="s">
        <v>349</v>
      </c>
      <c r="D90" s="41" t="s">
        <v>165</v>
      </c>
      <c r="E90" s="41" t="s">
        <v>39</v>
      </c>
      <c r="G90" t="b">
        <f t="shared" ref="G90:G121" si="3">EXACT(A90,D90)</f>
        <v>1</v>
      </c>
    </row>
    <row r="91" spans="1:7" x14ac:dyDescent="0.2">
      <c r="A91" s="55" t="s">
        <v>166</v>
      </c>
      <c r="B91" s="57">
        <v>1</v>
      </c>
      <c r="C91" s="57" t="s">
        <v>349</v>
      </c>
      <c r="D91" s="41" t="s">
        <v>166</v>
      </c>
      <c r="E91" s="41" t="s">
        <v>18</v>
      </c>
      <c r="G91" t="b">
        <f t="shared" si="3"/>
        <v>1</v>
      </c>
    </row>
    <row r="92" spans="1:7" x14ac:dyDescent="0.2">
      <c r="A92" s="55" t="s">
        <v>167</v>
      </c>
      <c r="B92" s="57">
        <v>1</v>
      </c>
      <c r="C92" s="57" t="s">
        <v>351</v>
      </c>
      <c r="D92" s="41" t="s">
        <v>167</v>
      </c>
      <c r="E92" s="41" t="s">
        <v>18</v>
      </c>
      <c r="G92" t="b">
        <f t="shared" si="3"/>
        <v>1</v>
      </c>
    </row>
    <row r="93" spans="1:7" x14ac:dyDescent="0.2">
      <c r="A93" s="55" t="s">
        <v>168</v>
      </c>
      <c r="B93" s="57">
        <v>1</v>
      </c>
      <c r="C93" s="57" t="s">
        <v>349</v>
      </c>
      <c r="D93" s="41" t="s">
        <v>168</v>
      </c>
      <c r="E93" s="41" t="s">
        <v>116</v>
      </c>
      <c r="G93" t="b">
        <f t="shared" si="3"/>
        <v>1</v>
      </c>
    </row>
    <row r="94" spans="1:7" x14ac:dyDescent="0.2">
      <c r="A94" s="55" t="s">
        <v>169</v>
      </c>
      <c r="B94" s="57">
        <v>1</v>
      </c>
      <c r="C94" s="57" t="s">
        <v>349</v>
      </c>
      <c r="D94" s="41" t="s">
        <v>169</v>
      </c>
      <c r="E94" s="41" t="s">
        <v>18</v>
      </c>
      <c r="G94" t="b">
        <f t="shared" si="3"/>
        <v>1</v>
      </c>
    </row>
    <row r="95" spans="1:7" x14ac:dyDescent="0.2">
      <c r="A95" s="55" t="s">
        <v>170</v>
      </c>
      <c r="B95" s="57">
        <v>1</v>
      </c>
      <c r="C95" s="57" t="s">
        <v>351</v>
      </c>
      <c r="D95" s="41" t="s">
        <v>170</v>
      </c>
      <c r="E95" s="41" t="s">
        <v>18</v>
      </c>
      <c r="G95" t="b">
        <f t="shared" si="3"/>
        <v>1</v>
      </c>
    </row>
    <row r="96" spans="1:7" x14ac:dyDescent="0.2">
      <c r="A96" s="55" t="s">
        <v>171</v>
      </c>
      <c r="B96" s="57">
        <v>1</v>
      </c>
      <c r="C96" s="57" t="s">
        <v>349</v>
      </c>
      <c r="D96" s="41" t="s">
        <v>171</v>
      </c>
      <c r="E96" s="41" t="s">
        <v>39</v>
      </c>
      <c r="G96" t="b">
        <f t="shared" si="3"/>
        <v>1</v>
      </c>
    </row>
    <row r="97" spans="1:7" x14ac:dyDescent="0.2">
      <c r="A97" s="55" t="s">
        <v>172</v>
      </c>
      <c r="B97" s="57">
        <v>1</v>
      </c>
      <c r="C97" s="57" t="s">
        <v>349</v>
      </c>
      <c r="D97" s="41" t="s">
        <v>172</v>
      </c>
      <c r="E97" s="41" t="s">
        <v>18</v>
      </c>
      <c r="G97" t="b">
        <f t="shared" si="3"/>
        <v>1</v>
      </c>
    </row>
    <row r="98" spans="1:7" x14ac:dyDescent="0.2">
      <c r="A98" s="55" t="s">
        <v>173</v>
      </c>
      <c r="B98" s="57">
        <v>1</v>
      </c>
      <c r="C98" s="57" t="s">
        <v>349</v>
      </c>
      <c r="D98" s="41" t="s">
        <v>173</v>
      </c>
      <c r="E98" s="41" t="s">
        <v>163</v>
      </c>
      <c r="G98" t="b">
        <f t="shared" si="3"/>
        <v>1</v>
      </c>
    </row>
    <row r="99" spans="1:7" x14ac:dyDescent="0.2">
      <c r="A99" s="55" t="s">
        <v>174</v>
      </c>
      <c r="B99" s="57">
        <v>1</v>
      </c>
      <c r="C99" s="57" t="s">
        <v>349</v>
      </c>
      <c r="D99" s="41" t="s">
        <v>174</v>
      </c>
      <c r="E99" s="41" t="s">
        <v>163</v>
      </c>
      <c r="G99" t="b">
        <f t="shared" si="3"/>
        <v>1</v>
      </c>
    </row>
    <row r="100" spans="1:7" x14ac:dyDescent="0.2">
      <c r="A100" s="55" t="s">
        <v>175</v>
      </c>
      <c r="B100" s="57">
        <v>1</v>
      </c>
      <c r="C100" s="57" t="s">
        <v>349</v>
      </c>
      <c r="D100" s="41" t="s">
        <v>175</v>
      </c>
      <c r="E100" s="41" t="s">
        <v>163</v>
      </c>
      <c r="G100" t="b">
        <f t="shared" si="3"/>
        <v>1</v>
      </c>
    </row>
    <row r="101" spans="1:7" x14ac:dyDescent="0.2">
      <c r="A101" s="55" t="s">
        <v>176</v>
      </c>
      <c r="B101" s="57">
        <v>1</v>
      </c>
      <c r="C101" s="57" t="s">
        <v>349</v>
      </c>
      <c r="D101" s="41" t="s">
        <v>176</v>
      </c>
      <c r="E101" s="41" t="s">
        <v>116</v>
      </c>
      <c r="G101" t="b">
        <f t="shared" si="3"/>
        <v>1</v>
      </c>
    </row>
    <row r="102" spans="1:7" x14ac:dyDescent="0.2">
      <c r="A102" s="55" t="s">
        <v>178</v>
      </c>
      <c r="B102" s="57">
        <v>1</v>
      </c>
      <c r="C102" s="57" t="s">
        <v>349</v>
      </c>
      <c r="D102" s="41" t="s">
        <v>178</v>
      </c>
      <c r="E102" s="41" t="s">
        <v>116</v>
      </c>
      <c r="G102" t="b">
        <f t="shared" si="3"/>
        <v>1</v>
      </c>
    </row>
    <row r="103" spans="1:7" x14ac:dyDescent="0.2">
      <c r="A103" s="55" t="s">
        <v>179</v>
      </c>
      <c r="B103" s="57">
        <v>1</v>
      </c>
      <c r="C103" s="57" t="s">
        <v>349</v>
      </c>
      <c r="D103" s="41" t="s">
        <v>179</v>
      </c>
      <c r="E103" s="41" t="s">
        <v>116</v>
      </c>
      <c r="G103" t="b">
        <f t="shared" si="3"/>
        <v>1</v>
      </c>
    </row>
    <row r="104" spans="1:7" x14ac:dyDescent="0.2">
      <c r="A104" s="55" t="s">
        <v>180</v>
      </c>
      <c r="B104" s="57">
        <v>1</v>
      </c>
      <c r="C104" s="57" t="s">
        <v>350</v>
      </c>
      <c r="D104" s="41" t="s">
        <v>180</v>
      </c>
      <c r="E104" s="41" t="s">
        <v>116</v>
      </c>
      <c r="G104" t="b">
        <f t="shared" si="3"/>
        <v>1</v>
      </c>
    </row>
    <row r="105" spans="1:7" x14ac:dyDescent="0.2">
      <c r="A105" s="55" t="s">
        <v>183</v>
      </c>
      <c r="B105" s="57">
        <v>1</v>
      </c>
      <c r="C105" s="57" t="s">
        <v>349</v>
      </c>
      <c r="D105" s="41" t="s">
        <v>183</v>
      </c>
      <c r="E105" s="41" t="s">
        <v>116</v>
      </c>
      <c r="G105" t="b">
        <f t="shared" si="3"/>
        <v>1</v>
      </c>
    </row>
    <row r="106" spans="1:7" x14ac:dyDescent="0.2">
      <c r="A106" s="55" t="s">
        <v>184</v>
      </c>
      <c r="B106" s="57">
        <v>1</v>
      </c>
      <c r="C106" s="57" t="s">
        <v>349</v>
      </c>
      <c r="D106" s="41" t="s">
        <v>184</v>
      </c>
      <c r="E106" s="41" t="s">
        <v>18</v>
      </c>
      <c r="G106" t="b">
        <f t="shared" si="3"/>
        <v>1</v>
      </c>
    </row>
    <row r="107" spans="1:7" x14ac:dyDescent="0.2">
      <c r="A107" s="55" t="s">
        <v>186</v>
      </c>
      <c r="B107" s="57">
        <v>1</v>
      </c>
      <c r="C107" s="57" t="s">
        <v>349</v>
      </c>
      <c r="D107" s="41" t="s">
        <v>186</v>
      </c>
      <c r="E107" s="41" t="s">
        <v>18</v>
      </c>
      <c r="G107" t="b">
        <f t="shared" si="3"/>
        <v>1</v>
      </c>
    </row>
    <row r="108" spans="1:7" x14ac:dyDescent="0.2">
      <c r="A108" s="55" t="s">
        <v>187</v>
      </c>
      <c r="B108" s="57">
        <v>1</v>
      </c>
      <c r="C108" s="57" t="s">
        <v>349</v>
      </c>
      <c r="D108" s="41" t="s">
        <v>187</v>
      </c>
      <c r="E108" s="41" t="s">
        <v>18</v>
      </c>
      <c r="G108" t="b">
        <f t="shared" si="3"/>
        <v>1</v>
      </c>
    </row>
    <row r="109" spans="1:7" x14ac:dyDescent="0.2">
      <c r="A109" s="55" t="s">
        <v>188</v>
      </c>
      <c r="B109" s="57">
        <v>1</v>
      </c>
      <c r="C109" s="57" t="s">
        <v>349</v>
      </c>
      <c r="D109" s="41" t="s">
        <v>188</v>
      </c>
      <c r="E109" s="41" t="s">
        <v>116</v>
      </c>
      <c r="G109" t="b">
        <f t="shared" si="3"/>
        <v>1</v>
      </c>
    </row>
    <row r="110" spans="1:7" x14ac:dyDescent="0.2">
      <c r="A110" s="55" t="s">
        <v>189</v>
      </c>
      <c r="B110" s="57">
        <v>1</v>
      </c>
      <c r="C110" s="57" t="s">
        <v>349</v>
      </c>
      <c r="D110" s="41" t="s">
        <v>189</v>
      </c>
      <c r="E110" s="41" t="s">
        <v>116</v>
      </c>
      <c r="G110" t="b">
        <f t="shared" si="3"/>
        <v>1</v>
      </c>
    </row>
    <row r="111" spans="1:7" x14ac:dyDescent="0.2">
      <c r="A111" s="55" t="s">
        <v>190</v>
      </c>
      <c r="B111" s="57">
        <v>1</v>
      </c>
      <c r="C111" s="57" t="s">
        <v>349</v>
      </c>
      <c r="D111" s="41" t="s">
        <v>190</v>
      </c>
      <c r="E111" s="41" t="s">
        <v>116</v>
      </c>
      <c r="G111" t="b">
        <f t="shared" si="3"/>
        <v>1</v>
      </c>
    </row>
    <row r="112" spans="1:7" x14ac:dyDescent="0.2">
      <c r="A112" s="55" t="s">
        <v>191</v>
      </c>
      <c r="B112" s="57">
        <v>1</v>
      </c>
      <c r="C112" s="57" t="s">
        <v>349</v>
      </c>
      <c r="D112" s="41" t="s">
        <v>191</v>
      </c>
      <c r="E112" s="41" t="s">
        <v>116</v>
      </c>
      <c r="G112" t="b">
        <f t="shared" si="3"/>
        <v>1</v>
      </c>
    </row>
    <row r="113" spans="1:7" x14ac:dyDescent="0.2">
      <c r="A113" s="55" t="s">
        <v>192</v>
      </c>
      <c r="B113" s="57">
        <v>1</v>
      </c>
      <c r="C113" s="57" t="s">
        <v>349</v>
      </c>
      <c r="D113" s="41" t="s">
        <v>192</v>
      </c>
      <c r="E113" s="41" t="s">
        <v>116</v>
      </c>
      <c r="G113" t="b">
        <f t="shared" si="3"/>
        <v>1</v>
      </c>
    </row>
    <row r="114" spans="1:7" x14ac:dyDescent="0.2">
      <c r="A114" s="55" t="s">
        <v>193</v>
      </c>
      <c r="B114" s="57">
        <v>1</v>
      </c>
      <c r="C114" s="57" t="s">
        <v>349</v>
      </c>
      <c r="D114" s="41" t="s">
        <v>193</v>
      </c>
      <c r="E114" s="41" t="s">
        <v>116</v>
      </c>
      <c r="G114" t="b">
        <f t="shared" si="3"/>
        <v>1</v>
      </c>
    </row>
    <row r="115" spans="1:7" x14ac:dyDescent="0.2">
      <c r="A115" s="55" t="s">
        <v>194</v>
      </c>
      <c r="B115" s="57">
        <v>1</v>
      </c>
      <c r="C115" s="57" t="s">
        <v>349</v>
      </c>
      <c r="D115" s="41" t="s">
        <v>194</v>
      </c>
      <c r="E115" s="41" t="s">
        <v>144</v>
      </c>
      <c r="G115" t="b">
        <f t="shared" si="3"/>
        <v>1</v>
      </c>
    </row>
    <row r="116" spans="1:7" x14ac:dyDescent="0.2">
      <c r="A116" s="55" t="s">
        <v>195</v>
      </c>
      <c r="B116" s="57">
        <v>1</v>
      </c>
      <c r="C116" s="57" t="s">
        <v>349</v>
      </c>
      <c r="D116" s="41" t="s">
        <v>195</v>
      </c>
      <c r="E116" s="41" t="s">
        <v>144</v>
      </c>
      <c r="G116" t="b">
        <f t="shared" si="3"/>
        <v>1</v>
      </c>
    </row>
    <row r="117" spans="1:7" x14ac:dyDescent="0.2">
      <c r="A117" s="55" t="s">
        <v>196</v>
      </c>
      <c r="B117" s="57">
        <v>1</v>
      </c>
      <c r="C117" s="57" t="s">
        <v>350</v>
      </c>
      <c r="D117" s="41" t="s">
        <v>196</v>
      </c>
      <c r="E117" s="41" t="s">
        <v>144</v>
      </c>
      <c r="G117" t="b">
        <f t="shared" si="3"/>
        <v>1</v>
      </c>
    </row>
    <row r="118" spans="1:7" x14ac:dyDescent="0.2">
      <c r="A118" s="55" t="s">
        <v>198</v>
      </c>
      <c r="B118" s="57">
        <v>1</v>
      </c>
      <c r="C118" s="57" t="s">
        <v>349</v>
      </c>
      <c r="D118" s="41" t="s">
        <v>198</v>
      </c>
      <c r="E118" s="41" t="s">
        <v>144</v>
      </c>
      <c r="G118" t="b">
        <f t="shared" si="3"/>
        <v>1</v>
      </c>
    </row>
    <row r="119" spans="1:7" x14ac:dyDescent="0.2">
      <c r="A119" s="55" t="s">
        <v>200</v>
      </c>
      <c r="B119" s="57">
        <v>1</v>
      </c>
      <c r="C119" s="57" t="s">
        <v>349</v>
      </c>
      <c r="D119" s="47" t="s">
        <v>200</v>
      </c>
      <c r="E119" s="47" t="s">
        <v>144</v>
      </c>
      <c r="G119" t="b">
        <f t="shared" si="3"/>
        <v>1</v>
      </c>
    </row>
    <row r="120" spans="1:7" x14ac:dyDescent="0.2">
      <c r="A120" s="55" t="s">
        <v>201</v>
      </c>
      <c r="B120" s="57">
        <v>1</v>
      </c>
      <c r="C120" s="57" t="s">
        <v>349</v>
      </c>
      <c r="D120" s="13" t="s">
        <v>201</v>
      </c>
      <c r="E120" s="13" t="s">
        <v>144</v>
      </c>
      <c r="G120" t="b">
        <f t="shared" si="3"/>
        <v>1</v>
      </c>
    </row>
    <row r="121" spans="1:7" x14ac:dyDescent="0.2">
      <c r="A121" s="55" t="s">
        <v>203</v>
      </c>
      <c r="B121" s="57">
        <v>1</v>
      </c>
      <c r="C121" s="57" t="s">
        <v>350</v>
      </c>
      <c r="D121" s="13" t="s">
        <v>203</v>
      </c>
      <c r="E121" s="13" t="s">
        <v>144</v>
      </c>
      <c r="G121" t="b">
        <f t="shared" si="3"/>
        <v>1</v>
      </c>
    </row>
    <row r="122" spans="1:7" x14ac:dyDescent="0.2">
      <c r="A122" s="55" t="s">
        <v>205</v>
      </c>
      <c r="B122" s="57">
        <v>1</v>
      </c>
      <c r="C122" s="57" t="s">
        <v>349</v>
      </c>
      <c r="D122" s="13" t="s">
        <v>205</v>
      </c>
      <c r="E122" s="13" t="s">
        <v>144</v>
      </c>
      <c r="G122" t="b">
        <f t="shared" ref="G122:G153" si="4">EXACT(A122,D122)</f>
        <v>1</v>
      </c>
    </row>
    <row r="123" spans="1:7" x14ac:dyDescent="0.2">
      <c r="A123" s="55" t="s">
        <v>206</v>
      </c>
      <c r="B123" s="57">
        <v>1</v>
      </c>
      <c r="C123" s="57" t="s">
        <v>349</v>
      </c>
      <c r="D123" s="13" t="s">
        <v>206</v>
      </c>
      <c r="E123" s="13" t="s">
        <v>144</v>
      </c>
      <c r="G123" t="b">
        <f t="shared" si="4"/>
        <v>1</v>
      </c>
    </row>
    <row r="124" spans="1:7" x14ac:dyDescent="0.2">
      <c r="A124" s="55" t="s">
        <v>207</v>
      </c>
      <c r="B124" s="57">
        <v>1</v>
      </c>
      <c r="C124" s="57" t="s">
        <v>350</v>
      </c>
      <c r="D124" s="13" t="s">
        <v>207</v>
      </c>
      <c r="E124" s="13" t="s">
        <v>144</v>
      </c>
      <c r="G124" t="b">
        <f t="shared" si="4"/>
        <v>1</v>
      </c>
    </row>
    <row r="125" spans="1:7" x14ac:dyDescent="0.2">
      <c r="A125" s="55" t="s">
        <v>209</v>
      </c>
      <c r="B125" s="57">
        <v>1</v>
      </c>
      <c r="C125" s="57" t="s">
        <v>349</v>
      </c>
      <c r="D125" s="13" t="s">
        <v>209</v>
      </c>
      <c r="E125" s="13" t="s">
        <v>144</v>
      </c>
      <c r="G125" t="b">
        <f t="shared" si="4"/>
        <v>1</v>
      </c>
    </row>
    <row r="126" spans="1:7" x14ac:dyDescent="0.2">
      <c r="A126" s="55" t="s">
        <v>210</v>
      </c>
      <c r="B126" s="57">
        <v>1</v>
      </c>
      <c r="C126" s="57" t="s">
        <v>349</v>
      </c>
      <c r="D126" s="13" t="s">
        <v>210</v>
      </c>
      <c r="E126" s="13" t="s">
        <v>144</v>
      </c>
      <c r="G126" t="b">
        <f t="shared" si="4"/>
        <v>1</v>
      </c>
    </row>
    <row r="127" spans="1:7" x14ac:dyDescent="0.2">
      <c r="A127" s="55" t="s">
        <v>211</v>
      </c>
      <c r="B127" s="57">
        <v>1</v>
      </c>
      <c r="C127" s="57" t="s">
        <v>349</v>
      </c>
      <c r="D127" s="13" t="s">
        <v>211</v>
      </c>
      <c r="E127" s="13" t="s">
        <v>144</v>
      </c>
      <c r="G127" t="b">
        <f t="shared" si="4"/>
        <v>1</v>
      </c>
    </row>
    <row r="128" spans="1:7" x14ac:dyDescent="0.2">
      <c r="A128" s="55" t="s">
        <v>212</v>
      </c>
      <c r="B128" s="57">
        <v>1</v>
      </c>
      <c r="C128" s="57" t="s">
        <v>349</v>
      </c>
      <c r="D128" s="13" t="s">
        <v>212</v>
      </c>
      <c r="E128" s="13" t="s">
        <v>144</v>
      </c>
      <c r="G128" t="b">
        <f t="shared" si="4"/>
        <v>1</v>
      </c>
    </row>
    <row r="129" spans="1:7" x14ac:dyDescent="0.2">
      <c r="A129" s="55" t="s">
        <v>213</v>
      </c>
      <c r="B129" s="57">
        <v>1</v>
      </c>
      <c r="C129" s="57" t="s">
        <v>350</v>
      </c>
      <c r="D129" s="13" t="s">
        <v>213</v>
      </c>
      <c r="E129" s="13" t="s">
        <v>144</v>
      </c>
      <c r="G129" t="b">
        <f t="shared" si="4"/>
        <v>1</v>
      </c>
    </row>
    <row r="130" spans="1:7" x14ac:dyDescent="0.2">
      <c r="A130" s="55" t="s">
        <v>215</v>
      </c>
      <c r="B130" s="57">
        <v>1</v>
      </c>
      <c r="C130" s="57" t="s">
        <v>349</v>
      </c>
      <c r="D130" s="13" t="s">
        <v>215</v>
      </c>
      <c r="E130" s="13" t="s">
        <v>144</v>
      </c>
      <c r="G130" t="b">
        <f t="shared" si="4"/>
        <v>1</v>
      </c>
    </row>
    <row r="131" spans="1:7" x14ac:dyDescent="0.2">
      <c r="A131" s="55" t="s">
        <v>216</v>
      </c>
      <c r="B131" s="57">
        <v>1</v>
      </c>
      <c r="C131" s="57" t="s">
        <v>350</v>
      </c>
      <c r="D131" s="13" t="s">
        <v>216</v>
      </c>
      <c r="E131" s="13" t="s">
        <v>144</v>
      </c>
      <c r="G131" t="b">
        <f t="shared" si="4"/>
        <v>1</v>
      </c>
    </row>
    <row r="132" spans="1:7" x14ac:dyDescent="0.2">
      <c r="A132" s="55" t="s">
        <v>217</v>
      </c>
      <c r="B132" s="57">
        <v>1</v>
      </c>
      <c r="C132" s="57" t="s">
        <v>349</v>
      </c>
      <c r="D132" s="13" t="s">
        <v>217</v>
      </c>
      <c r="E132" s="13" t="s">
        <v>144</v>
      </c>
      <c r="G132" t="b">
        <f t="shared" si="4"/>
        <v>1</v>
      </c>
    </row>
    <row r="133" spans="1:7" x14ac:dyDescent="0.2">
      <c r="A133" s="55" t="s">
        <v>218</v>
      </c>
      <c r="B133" s="57">
        <v>1</v>
      </c>
      <c r="C133" s="57" t="s">
        <v>349</v>
      </c>
      <c r="D133" s="13" t="s">
        <v>218</v>
      </c>
      <c r="E133" s="13" t="s">
        <v>144</v>
      </c>
      <c r="G133" t="b">
        <f t="shared" si="4"/>
        <v>1</v>
      </c>
    </row>
    <row r="134" spans="1:7" x14ac:dyDescent="0.2">
      <c r="A134" s="55" t="s">
        <v>220</v>
      </c>
      <c r="B134" s="57">
        <v>1</v>
      </c>
      <c r="C134" s="57" t="s">
        <v>349</v>
      </c>
      <c r="D134" s="13" t="s">
        <v>220</v>
      </c>
      <c r="E134" s="13" t="s">
        <v>18</v>
      </c>
      <c r="G134" t="b">
        <f t="shared" si="4"/>
        <v>1</v>
      </c>
    </row>
    <row r="135" spans="1:7" x14ac:dyDescent="0.2">
      <c r="A135" s="55" t="s">
        <v>221</v>
      </c>
      <c r="B135" s="57">
        <v>1</v>
      </c>
      <c r="C135" s="57" t="s">
        <v>350</v>
      </c>
      <c r="D135" s="13" t="s">
        <v>221</v>
      </c>
      <c r="E135" s="13" t="s">
        <v>18</v>
      </c>
      <c r="G135" t="b">
        <f t="shared" si="4"/>
        <v>1</v>
      </c>
    </row>
    <row r="136" spans="1:7" x14ac:dyDescent="0.2">
      <c r="A136" s="55" t="s">
        <v>222</v>
      </c>
      <c r="B136" s="57">
        <v>1</v>
      </c>
      <c r="C136" s="57" t="s">
        <v>349</v>
      </c>
      <c r="D136" s="13" t="s">
        <v>222</v>
      </c>
      <c r="E136" s="13" t="s">
        <v>18</v>
      </c>
      <c r="G136" t="b">
        <f t="shared" si="4"/>
        <v>1</v>
      </c>
    </row>
    <row r="137" spans="1:7" x14ac:dyDescent="0.2">
      <c r="A137" s="55" t="s">
        <v>223</v>
      </c>
      <c r="B137" s="57">
        <v>1</v>
      </c>
      <c r="C137" s="57" t="s">
        <v>350</v>
      </c>
      <c r="D137" s="13" t="s">
        <v>223</v>
      </c>
      <c r="E137" s="13" t="s">
        <v>18</v>
      </c>
      <c r="G137" t="b">
        <f t="shared" si="4"/>
        <v>1</v>
      </c>
    </row>
    <row r="138" spans="1:7" x14ac:dyDescent="0.2">
      <c r="A138" s="55" t="s">
        <v>225</v>
      </c>
      <c r="B138" s="57">
        <v>1</v>
      </c>
      <c r="C138" s="57" t="s">
        <v>349</v>
      </c>
      <c r="D138" s="13" t="s">
        <v>225</v>
      </c>
      <c r="E138" s="13" t="s">
        <v>18</v>
      </c>
      <c r="G138" t="b">
        <f t="shared" si="4"/>
        <v>1</v>
      </c>
    </row>
    <row r="139" spans="1:7" x14ac:dyDescent="0.2">
      <c r="A139" s="55" t="s">
        <v>226</v>
      </c>
      <c r="B139" s="57">
        <v>1</v>
      </c>
      <c r="C139" s="57" t="s">
        <v>350</v>
      </c>
      <c r="D139" s="13" t="s">
        <v>226</v>
      </c>
      <c r="E139" s="13" t="s">
        <v>18</v>
      </c>
      <c r="G139" t="b">
        <f t="shared" si="4"/>
        <v>1</v>
      </c>
    </row>
    <row r="140" spans="1:7" x14ac:dyDescent="0.2">
      <c r="A140" s="55" t="s">
        <v>227</v>
      </c>
      <c r="B140" s="57">
        <v>1</v>
      </c>
      <c r="C140" s="57" t="s">
        <v>349</v>
      </c>
      <c r="D140" s="13" t="s">
        <v>227</v>
      </c>
      <c r="E140" s="13" t="s">
        <v>116</v>
      </c>
      <c r="G140" t="b">
        <f t="shared" si="4"/>
        <v>1</v>
      </c>
    </row>
    <row r="141" spans="1:7" x14ac:dyDescent="0.2">
      <c r="A141" s="55" t="s">
        <v>228</v>
      </c>
      <c r="B141" s="57">
        <v>1</v>
      </c>
      <c r="C141" s="57" t="s">
        <v>349</v>
      </c>
      <c r="D141" s="13" t="s">
        <v>228</v>
      </c>
      <c r="E141" s="13" t="s">
        <v>18</v>
      </c>
      <c r="G141" t="b">
        <f t="shared" si="4"/>
        <v>1</v>
      </c>
    </row>
    <row r="142" spans="1:7" x14ac:dyDescent="0.2">
      <c r="A142" s="55" t="s">
        <v>229</v>
      </c>
      <c r="B142" s="57">
        <v>1</v>
      </c>
      <c r="C142" s="57" t="s">
        <v>349</v>
      </c>
      <c r="D142" s="13" t="s">
        <v>229</v>
      </c>
      <c r="E142" s="13" t="s">
        <v>144</v>
      </c>
      <c r="G142" t="b">
        <f t="shared" si="4"/>
        <v>1</v>
      </c>
    </row>
    <row r="143" spans="1:7" x14ac:dyDescent="0.2">
      <c r="A143" s="55" t="s">
        <v>230</v>
      </c>
      <c r="B143" s="57">
        <v>1</v>
      </c>
      <c r="C143" s="57" t="s">
        <v>350</v>
      </c>
      <c r="D143" s="13" t="s">
        <v>230</v>
      </c>
      <c r="E143" s="13" t="s">
        <v>144</v>
      </c>
      <c r="G143" t="b">
        <f t="shared" si="4"/>
        <v>1</v>
      </c>
    </row>
    <row r="144" spans="1:7" x14ac:dyDescent="0.2">
      <c r="A144" s="55" t="s">
        <v>231</v>
      </c>
      <c r="B144" s="57">
        <v>1</v>
      </c>
      <c r="C144" s="57" t="s">
        <v>349</v>
      </c>
      <c r="D144" s="13" t="s">
        <v>231</v>
      </c>
      <c r="E144" s="13" t="s">
        <v>144</v>
      </c>
      <c r="G144" t="b">
        <f t="shared" si="4"/>
        <v>1</v>
      </c>
    </row>
    <row r="145" spans="1:7" x14ac:dyDescent="0.2">
      <c r="A145" s="55" t="s">
        <v>232</v>
      </c>
      <c r="B145" s="57">
        <v>1</v>
      </c>
      <c r="C145" s="57" t="s">
        <v>350</v>
      </c>
      <c r="D145" s="13" t="s">
        <v>232</v>
      </c>
      <c r="E145" s="13" t="s">
        <v>144</v>
      </c>
      <c r="G145" t="b">
        <f t="shared" si="4"/>
        <v>1</v>
      </c>
    </row>
    <row r="146" spans="1:7" x14ac:dyDescent="0.2">
      <c r="A146" s="55" t="s">
        <v>233</v>
      </c>
      <c r="B146" s="57">
        <v>1</v>
      </c>
      <c r="C146" s="57" t="s">
        <v>349</v>
      </c>
      <c r="D146" s="13" t="s">
        <v>233</v>
      </c>
      <c r="E146" s="13" t="s">
        <v>144</v>
      </c>
      <c r="G146" t="b">
        <f t="shared" si="4"/>
        <v>1</v>
      </c>
    </row>
    <row r="147" spans="1:7" x14ac:dyDescent="0.2">
      <c r="A147" s="55" t="s">
        <v>234</v>
      </c>
      <c r="B147" s="57">
        <v>1</v>
      </c>
      <c r="C147" s="57" t="s">
        <v>350</v>
      </c>
      <c r="D147" s="13" t="s">
        <v>234</v>
      </c>
      <c r="E147" s="13" t="s">
        <v>144</v>
      </c>
      <c r="G147" t="b">
        <f t="shared" si="4"/>
        <v>1</v>
      </c>
    </row>
    <row r="148" spans="1:7" x14ac:dyDescent="0.2">
      <c r="A148" s="55" t="s">
        <v>235</v>
      </c>
      <c r="B148" s="57">
        <v>1</v>
      </c>
      <c r="C148" s="57" t="s">
        <v>349</v>
      </c>
      <c r="D148" s="13" t="s">
        <v>235</v>
      </c>
      <c r="E148" s="13" t="s">
        <v>18</v>
      </c>
      <c r="G148" t="b">
        <f t="shared" si="4"/>
        <v>1</v>
      </c>
    </row>
    <row r="149" spans="1:7" x14ac:dyDescent="0.2">
      <c r="A149" s="55" t="s">
        <v>237</v>
      </c>
      <c r="B149" s="57">
        <v>1</v>
      </c>
      <c r="C149" s="57" t="s">
        <v>351</v>
      </c>
      <c r="D149" s="13" t="s">
        <v>237</v>
      </c>
      <c r="E149" s="13" t="s">
        <v>18</v>
      </c>
      <c r="G149" t="b">
        <f t="shared" si="4"/>
        <v>1</v>
      </c>
    </row>
    <row r="150" spans="1:7" x14ac:dyDescent="0.2">
      <c r="A150" s="55" t="s">
        <v>238</v>
      </c>
      <c r="B150" s="57">
        <v>1</v>
      </c>
      <c r="C150" s="57" t="s">
        <v>349</v>
      </c>
      <c r="D150" s="13" t="s">
        <v>238</v>
      </c>
      <c r="E150" s="13" t="s">
        <v>116</v>
      </c>
      <c r="G150" t="b">
        <f t="shared" si="4"/>
        <v>1</v>
      </c>
    </row>
    <row r="151" spans="1:7" x14ac:dyDescent="0.2">
      <c r="A151" s="55" t="s">
        <v>239</v>
      </c>
      <c r="B151" s="57">
        <v>1</v>
      </c>
      <c r="C151" s="57" t="s">
        <v>350</v>
      </c>
      <c r="D151" s="13" t="s">
        <v>239</v>
      </c>
      <c r="E151" s="13" t="s">
        <v>116</v>
      </c>
      <c r="G151" t="b">
        <f t="shared" si="4"/>
        <v>1</v>
      </c>
    </row>
    <row r="152" spans="1:7" x14ac:dyDescent="0.2">
      <c r="A152" s="55" t="s">
        <v>240</v>
      </c>
      <c r="B152" s="57">
        <v>1</v>
      </c>
      <c r="C152" s="57" t="s">
        <v>349</v>
      </c>
      <c r="D152" s="13" t="s">
        <v>240</v>
      </c>
      <c r="E152" s="13" t="s">
        <v>116</v>
      </c>
      <c r="G152" t="b">
        <f t="shared" si="4"/>
        <v>1</v>
      </c>
    </row>
    <row r="153" spans="1:7" x14ac:dyDescent="0.2">
      <c r="A153" s="55" t="s">
        <v>241</v>
      </c>
      <c r="B153" s="57">
        <v>1</v>
      </c>
      <c r="C153" s="57" t="s">
        <v>350</v>
      </c>
      <c r="D153" s="13" t="s">
        <v>241</v>
      </c>
      <c r="E153" s="13" t="s">
        <v>116</v>
      </c>
      <c r="G153" t="b">
        <f t="shared" si="4"/>
        <v>1</v>
      </c>
    </row>
    <row r="154" spans="1:7" x14ac:dyDescent="0.2">
      <c r="A154" s="55" t="s">
        <v>242</v>
      </c>
      <c r="B154" s="57">
        <v>1</v>
      </c>
      <c r="C154" s="57" t="s">
        <v>349</v>
      </c>
      <c r="D154" s="13" t="s">
        <v>242</v>
      </c>
      <c r="E154" s="13" t="s">
        <v>243</v>
      </c>
      <c r="G154" t="b">
        <f t="shared" ref="G154:G185" si="5">EXACT(A154,D154)</f>
        <v>1</v>
      </c>
    </row>
    <row r="155" spans="1:7" x14ac:dyDescent="0.2">
      <c r="A155" s="55" t="s">
        <v>245</v>
      </c>
      <c r="B155" s="57">
        <v>1</v>
      </c>
      <c r="C155" s="57" t="s">
        <v>350</v>
      </c>
      <c r="D155" s="13" t="s">
        <v>245</v>
      </c>
      <c r="E155" s="13" t="s">
        <v>116</v>
      </c>
      <c r="G155" t="b">
        <f t="shared" si="5"/>
        <v>1</v>
      </c>
    </row>
    <row r="156" spans="1:7" x14ac:dyDescent="0.2">
      <c r="A156" s="55" t="s">
        <v>247</v>
      </c>
      <c r="B156" s="57">
        <v>1</v>
      </c>
      <c r="C156" s="57" t="s">
        <v>349</v>
      </c>
      <c r="D156" s="13" t="s">
        <v>247</v>
      </c>
      <c r="E156" s="13" t="s">
        <v>18</v>
      </c>
      <c r="G156" t="b">
        <f t="shared" si="5"/>
        <v>1</v>
      </c>
    </row>
    <row r="157" spans="1:7" x14ac:dyDescent="0.2">
      <c r="A157" s="55" t="s">
        <v>248</v>
      </c>
      <c r="B157" s="57">
        <v>1</v>
      </c>
      <c r="C157" s="57" t="s">
        <v>349</v>
      </c>
      <c r="D157" s="13" t="s">
        <v>248</v>
      </c>
      <c r="E157" s="13" t="s">
        <v>18</v>
      </c>
      <c r="G157" t="b">
        <f t="shared" si="5"/>
        <v>1</v>
      </c>
    </row>
    <row r="158" spans="1:7" x14ac:dyDescent="0.2">
      <c r="A158" s="55" t="s">
        <v>249</v>
      </c>
      <c r="B158" s="57">
        <v>1</v>
      </c>
      <c r="C158" s="57" t="s">
        <v>349</v>
      </c>
      <c r="D158" s="13" t="s">
        <v>249</v>
      </c>
      <c r="E158" s="13" t="s">
        <v>18</v>
      </c>
      <c r="G158" t="b">
        <f t="shared" si="5"/>
        <v>1</v>
      </c>
    </row>
    <row r="159" spans="1:7" x14ac:dyDescent="0.2">
      <c r="A159" s="55" t="s">
        <v>250</v>
      </c>
      <c r="B159" s="57">
        <v>1</v>
      </c>
      <c r="C159" s="57" t="s">
        <v>351</v>
      </c>
      <c r="D159" s="41" t="s">
        <v>250</v>
      </c>
      <c r="E159" s="41" t="s">
        <v>18</v>
      </c>
      <c r="G159" t="b">
        <f t="shared" si="5"/>
        <v>1</v>
      </c>
    </row>
    <row r="160" spans="1:7" x14ac:dyDescent="0.2">
      <c r="A160" s="55" t="s">
        <v>251</v>
      </c>
      <c r="B160" s="57">
        <v>1</v>
      </c>
      <c r="C160" s="57" t="s">
        <v>349</v>
      </c>
      <c r="D160" s="13" t="s">
        <v>251</v>
      </c>
      <c r="E160" s="13" t="s">
        <v>116</v>
      </c>
      <c r="G160" t="b">
        <f t="shared" si="5"/>
        <v>1</v>
      </c>
    </row>
    <row r="161" spans="1:7" x14ac:dyDescent="0.2">
      <c r="A161" s="55" t="s">
        <v>252</v>
      </c>
      <c r="B161" s="57">
        <v>1</v>
      </c>
      <c r="C161" s="57" t="s">
        <v>351</v>
      </c>
      <c r="D161" s="13" t="s">
        <v>252</v>
      </c>
      <c r="E161" s="13" t="s">
        <v>116</v>
      </c>
      <c r="G161" t="b">
        <f t="shared" si="5"/>
        <v>1</v>
      </c>
    </row>
    <row r="162" spans="1:7" x14ac:dyDescent="0.2">
      <c r="A162" s="55" t="s">
        <v>253</v>
      </c>
      <c r="B162" s="57">
        <v>1</v>
      </c>
      <c r="C162" s="57" t="s">
        <v>349</v>
      </c>
      <c r="D162" s="13" t="s">
        <v>253</v>
      </c>
      <c r="E162" s="13" t="s">
        <v>18</v>
      </c>
      <c r="G162" t="b">
        <f t="shared" si="5"/>
        <v>1</v>
      </c>
    </row>
    <row r="163" spans="1:7" x14ac:dyDescent="0.2">
      <c r="A163" s="55" t="s">
        <v>254</v>
      </c>
      <c r="B163" s="57">
        <v>1</v>
      </c>
      <c r="C163" s="57" t="s">
        <v>349</v>
      </c>
      <c r="D163" s="13" t="s">
        <v>254</v>
      </c>
      <c r="E163" s="13" t="s">
        <v>116</v>
      </c>
      <c r="G163" t="b">
        <f t="shared" si="5"/>
        <v>1</v>
      </c>
    </row>
    <row r="164" spans="1:7" x14ac:dyDescent="0.2">
      <c r="A164" s="55" t="s">
        <v>255</v>
      </c>
      <c r="B164" s="57">
        <v>1</v>
      </c>
      <c r="C164" s="57" t="s">
        <v>350</v>
      </c>
      <c r="D164" s="13" t="s">
        <v>255</v>
      </c>
      <c r="E164" s="13" t="s">
        <v>116</v>
      </c>
      <c r="G164" t="b">
        <f t="shared" si="5"/>
        <v>1</v>
      </c>
    </row>
    <row r="165" spans="1:7" x14ac:dyDescent="0.2">
      <c r="A165" s="55" t="s">
        <v>256</v>
      </c>
      <c r="B165" s="57">
        <v>1</v>
      </c>
      <c r="C165" s="57" t="s">
        <v>354</v>
      </c>
      <c r="D165" s="14" t="s">
        <v>256</v>
      </c>
      <c r="E165" s="14" t="s">
        <v>116</v>
      </c>
      <c r="G165" t="b">
        <f t="shared" si="5"/>
        <v>1</v>
      </c>
    </row>
    <row r="166" spans="1:7" x14ac:dyDescent="0.2">
      <c r="A166" s="55" t="s">
        <v>259</v>
      </c>
      <c r="B166" s="57">
        <v>1</v>
      </c>
      <c r="C166" s="57" t="s">
        <v>349</v>
      </c>
      <c r="D166" s="13" t="s">
        <v>259</v>
      </c>
      <c r="E166" s="13" t="s">
        <v>116</v>
      </c>
      <c r="G166" t="b">
        <f t="shared" si="5"/>
        <v>1</v>
      </c>
    </row>
    <row r="167" spans="1:7" x14ac:dyDescent="0.2">
      <c r="A167" s="55" t="s">
        <v>260</v>
      </c>
      <c r="B167" s="57">
        <v>1</v>
      </c>
      <c r="C167" s="57" t="s">
        <v>349</v>
      </c>
      <c r="D167" s="13" t="s">
        <v>260</v>
      </c>
      <c r="E167" s="13" t="s">
        <v>18</v>
      </c>
      <c r="G167" t="b">
        <f t="shared" si="5"/>
        <v>1</v>
      </c>
    </row>
    <row r="168" spans="1:7" x14ac:dyDescent="0.2">
      <c r="A168" s="55" t="s">
        <v>261</v>
      </c>
      <c r="B168" s="57">
        <v>1</v>
      </c>
      <c r="C168" s="57" t="s">
        <v>351</v>
      </c>
      <c r="D168" s="13" t="s">
        <v>261</v>
      </c>
      <c r="E168" s="13" t="s">
        <v>18</v>
      </c>
      <c r="G168" t="b">
        <f t="shared" si="5"/>
        <v>1</v>
      </c>
    </row>
    <row r="169" spans="1:7" x14ac:dyDescent="0.2">
      <c r="A169" s="55" t="s">
        <v>262</v>
      </c>
      <c r="B169" s="57">
        <v>1</v>
      </c>
      <c r="C169" s="57" t="s">
        <v>349</v>
      </c>
      <c r="D169" s="13" t="s">
        <v>262</v>
      </c>
      <c r="E169" s="13" t="s">
        <v>116</v>
      </c>
      <c r="G169" t="b">
        <f t="shared" si="5"/>
        <v>1</v>
      </c>
    </row>
    <row r="170" spans="1:7" x14ac:dyDescent="0.2">
      <c r="A170" s="55" t="s">
        <v>263</v>
      </c>
      <c r="B170" s="57">
        <v>1</v>
      </c>
      <c r="C170" s="57" t="s">
        <v>350</v>
      </c>
      <c r="D170" s="41" t="s">
        <v>263</v>
      </c>
      <c r="E170" s="41" t="s">
        <v>116</v>
      </c>
      <c r="G170" t="b">
        <f t="shared" si="5"/>
        <v>1</v>
      </c>
    </row>
    <row r="171" spans="1:7" x14ac:dyDescent="0.2">
      <c r="A171" s="55" t="s">
        <v>264</v>
      </c>
      <c r="B171" s="57">
        <v>1</v>
      </c>
      <c r="C171" s="57" t="s">
        <v>351</v>
      </c>
      <c r="D171" s="41" t="s">
        <v>264</v>
      </c>
      <c r="E171" s="41" t="s">
        <v>18</v>
      </c>
      <c r="G171" t="b">
        <f t="shared" si="5"/>
        <v>1</v>
      </c>
    </row>
    <row r="172" spans="1:7" x14ac:dyDescent="0.2">
      <c r="A172" s="55" t="s">
        <v>265</v>
      </c>
      <c r="B172" s="57">
        <v>1</v>
      </c>
      <c r="C172" s="57" t="s">
        <v>349</v>
      </c>
      <c r="D172" s="13" t="s">
        <v>265</v>
      </c>
      <c r="E172" s="13" t="s">
        <v>116</v>
      </c>
      <c r="G172" t="b">
        <f t="shared" si="5"/>
        <v>1</v>
      </c>
    </row>
    <row r="173" spans="1:7" x14ac:dyDescent="0.2">
      <c r="A173" s="55" t="s">
        <v>266</v>
      </c>
      <c r="B173" s="57">
        <v>1</v>
      </c>
      <c r="C173" s="57" t="s">
        <v>349</v>
      </c>
      <c r="D173" s="13" t="s">
        <v>266</v>
      </c>
      <c r="E173" s="13" t="s">
        <v>116</v>
      </c>
      <c r="G173" t="b">
        <f t="shared" si="5"/>
        <v>1</v>
      </c>
    </row>
    <row r="174" spans="1:7" x14ac:dyDescent="0.2">
      <c r="A174" s="55" t="s">
        <v>267</v>
      </c>
      <c r="B174" s="57">
        <v>1</v>
      </c>
      <c r="C174" s="57" t="s">
        <v>349</v>
      </c>
      <c r="D174" s="13" t="s">
        <v>267</v>
      </c>
      <c r="E174" s="13" t="s">
        <v>18</v>
      </c>
      <c r="G174" t="b">
        <f t="shared" si="5"/>
        <v>1</v>
      </c>
    </row>
    <row r="175" spans="1:7" x14ac:dyDescent="0.2">
      <c r="A175" s="55" t="s">
        <v>268</v>
      </c>
      <c r="B175" s="57">
        <v>1</v>
      </c>
      <c r="C175" s="57" t="s">
        <v>349</v>
      </c>
      <c r="D175" s="13" t="s">
        <v>268</v>
      </c>
      <c r="E175" s="13" t="s">
        <v>18</v>
      </c>
      <c r="G175" t="b">
        <f t="shared" si="5"/>
        <v>1</v>
      </c>
    </row>
    <row r="176" spans="1:7" x14ac:dyDescent="0.2">
      <c r="A176" s="55" t="s">
        <v>269</v>
      </c>
      <c r="B176" s="57">
        <v>1</v>
      </c>
      <c r="C176" s="57" t="s">
        <v>350</v>
      </c>
      <c r="D176" s="13" t="s">
        <v>269</v>
      </c>
      <c r="E176" s="13" t="s">
        <v>18</v>
      </c>
      <c r="G176" t="b">
        <f t="shared" si="5"/>
        <v>1</v>
      </c>
    </row>
    <row r="177" spans="1:7" x14ac:dyDescent="0.2">
      <c r="A177" s="55" t="s">
        <v>270</v>
      </c>
      <c r="B177" s="57">
        <v>1</v>
      </c>
      <c r="C177" s="57" t="s">
        <v>350</v>
      </c>
      <c r="D177" s="13" t="s">
        <v>270</v>
      </c>
      <c r="E177" s="13" t="s">
        <v>18</v>
      </c>
      <c r="G177" t="b">
        <f t="shared" si="5"/>
        <v>1</v>
      </c>
    </row>
    <row r="178" spans="1:7" x14ac:dyDescent="0.2">
      <c r="A178" s="55" t="s">
        <v>271</v>
      </c>
      <c r="B178" s="57">
        <v>1</v>
      </c>
      <c r="C178" s="57" t="s">
        <v>349</v>
      </c>
      <c r="D178" s="13" t="s">
        <v>271</v>
      </c>
      <c r="E178" s="13" t="s">
        <v>46</v>
      </c>
      <c r="G178" t="b">
        <f t="shared" si="5"/>
        <v>1</v>
      </c>
    </row>
    <row r="179" spans="1:7" x14ac:dyDescent="0.2">
      <c r="A179" s="55" t="s">
        <v>272</v>
      </c>
      <c r="B179" s="57">
        <v>1</v>
      </c>
      <c r="C179" s="57" t="s">
        <v>349</v>
      </c>
      <c r="D179" s="13" t="s">
        <v>272</v>
      </c>
      <c r="E179" s="13" t="s">
        <v>46</v>
      </c>
      <c r="G179" t="b">
        <f t="shared" si="5"/>
        <v>1</v>
      </c>
    </row>
    <row r="180" spans="1:7" x14ac:dyDescent="0.2">
      <c r="A180" s="55" t="s">
        <v>273</v>
      </c>
      <c r="B180" s="57">
        <v>1</v>
      </c>
      <c r="C180" s="57" t="s">
        <v>349</v>
      </c>
      <c r="D180" s="13" t="s">
        <v>273</v>
      </c>
      <c r="E180" s="13" t="s">
        <v>116</v>
      </c>
      <c r="G180" t="b">
        <f t="shared" si="5"/>
        <v>1</v>
      </c>
    </row>
    <row r="181" spans="1:7" x14ac:dyDescent="0.2">
      <c r="A181" s="55" t="s">
        <v>275</v>
      </c>
      <c r="B181" s="57">
        <v>1</v>
      </c>
      <c r="C181" s="57" t="s">
        <v>349</v>
      </c>
      <c r="D181" s="13" t="s">
        <v>275</v>
      </c>
      <c r="E181" s="13" t="s">
        <v>116</v>
      </c>
      <c r="G181" t="b">
        <f t="shared" si="5"/>
        <v>1</v>
      </c>
    </row>
    <row r="182" spans="1:7" x14ac:dyDescent="0.2">
      <c r="A182" s="55" t="s">
        <v>276</v>
      </c>
      <c r="B182" s="57">
        <v>1</v>
      </c>
      <c r="C182" s="57" t="s">
        <v>350</v>
      </c>
      <c r="D182" s="13" t="s">
        <v>276</v>
      </c>
      <c r="E182" s="13" t="s">
        <v>144</v>
      </c>
      <c r="G182" t="b">
        <f t="shared" si="5"/>
        <v>1</v>
      </c>
    </row>
    <row r="183" spans="1:7" x14ac:dyDescent="0.2">
      <c r="A183" s="55" t="s">
        <v>278</v>
      </c>
      <c r="B183" s="57">
        <v>1</v>
      </c>
      <c r="C183" s="57" t="s">
        <v>349</v>
      </c>
      <c r="D183" s="13" t="s">
        <v>278</v>
      </c>
      <c r="E183" s="13" t="s">
        <v>116</v>
      </c>
      <c r="G183" t="b">
        <f t="shared" si="5"/>
        <v>1</v>
      </c>
    </row>
    <row r="184" spans="1:7" x14ac:dyDescent="0.2">
      <c r="A184" s="55" t="s">
        <v>279</v>
      </c>
      <c r="B184" s="57">
        <v>1</v>
      </c>
      <c r="C184" s="57" t="s">
        <v>349</v>
      </c>
      <c r="D184" s="13" t="s">
        <v>279</v>
      </c>
      <c r="E184" s="13" t="s">
        <v>144</v>
      </c>
      <c r="G184" t="b">
        <f t="shared" si="5"/>
        <v>1</v>
      </c>
    </row>
    <row r="185" spans="1:7" x14ac:dyDescent="0.2">
      <c r="A185" s="55" t="s">
        <v>280</v>
      </c>
      <c r="B185" s="57">
        <v>1</v>
      </c>
      <c r="C185" s="57" t="s">
        <v>349</v>
      </c>
      <c r="D185" s="13" t="s">
        <v>280</v>
      </c>
      <c r="E185" s="13" t="s">
        <v>116</v>
      </c>
      <c r="G185" t="b">
        <f t="shared" si="5"/>
        <v>1</v>
      </c>
    </row>
    <row r="186" spans="1:7" x14ac:dyDescent="0.2">
      <c r="A186" s="55" t="s">
        <v>282</v>
      </c>
      <c r="B186" s="57">
        <v>1</v>
      </c>
      <c r="C186" s="57" t="s">
        <v>349</v>
      </c>
      <c r="D186" s="13" t="s">
        <v>282</v>
      </c>
      <c r="E186" s="13" t="s">
        <v>116</v>
      </c>
      <c r="G186" t="b">
        <f t="shared" ref="G186:G210" si="6">EXACT(A186,D186)</f>
        <v>1</v>
      </c>
    </row>
    <row r="187" spans="1:7" x14ac:dyDescent="0.2">
      <c r="A187" s="55" t="s">
        <v>283</v>
      </c>
      <c r="B187" s="57">
        <v>1</v>
      </c>
      <c r="C187" s="57" t="s">
        <v>349</v>
      </c>
      <c r="D187" s="13" t="s">
        <v>283</v>
      </c>
      <c r="E187" s="13" t="s">
        <v>116</v>
      </c>
      <c r="G187" t="b">
        <f t="shared" si="6"/>
        <v>1</v>
      </c>
    </row>
    <row r="188" spans="1:7" x14ac:dyDescent="0.2">
      <c r="A188" s="55" t="s">
        <v>284</v>
      </c>
      <c r="B188" s="57">
        <v>1</v>
      </c>
      <c r="C188" s="57" t="s">
        <v>350</v>
      </c>
      <c r="D188" s="13" t="s">
        <v>284</v>
      </c>
      <c r="E188" s="13" t="s">
        <v>116</v>
      </c>
      <c r="G188" t="b">
        <f t="shared" si="6"/>
        <v>1</v>
      </c>
    </row>
    <row r="189" spans="1:7" x14ac:dyDescent="0.2">
      <c r="A189" s="55" t="s">
        <v>286</v>
      </c>
      <c r="B189" s="57">
        <v>1</v>
      </c>
      <c r="C189" s="57" t="s">
        <v>349</v>
      </c>
      <c r="D189" s="13" t="s">
        <v>286</v>
      </c>
      <c r="E189" s="13" t="s">
        <v>116</v>
      </c>
      <c r="G189" t="b">
        <f t="shared" si="6"/>
        <v>1</v>
      </c>
    </row>
    <row r="190" spans="1:7" x14ac:dyDescent="0.2">
      <c r="A190" s="55" t="s">
        <v>287</v>
      </c>
      <c r="B190" s="57">
        <v>1</v>
      </c>
      <c r="C190" s="57" t="s">
        <v>351</v>
      </c>
      <c r="D190" s="13" t="s">
        <v>287</v>
      </c>
      <c r="E190" s="13" t="s">
        <v>18</v>
      </c>
      <c r="G190" t="b">
        <f t="shared" si="6"/>
        <v>1</v>
      </c>
    </row>
    <row r="191" spans="1:7" x14ac:dyDescent="0.2">
      <c r="A191" s="55" t="s">
        <v>288</v>
      </c>
      <c r="B191" s="57">
        <v>1</v>
      </c>
      <c r="C191" s="57" t="s">
        <v>351</v>
      </c>
      <c r="D191" s="13" t="s">
        <v>288</v>
      </c>
      <c r="E191" s="13" t="s">
        <v>18</v>
      </c>
      <c r="G191" t="b">
        <f t="shared" si="6"/>
        <v>1</v>
      </c>
    </row>
    <row r="192" spans="1:7" x14ac:dyDescent="0.2">
      <c r="A192" s="55" t="s">
        <v>289</v>
      </c>
      <c r="B192" s="57">
        <v>1</v>
      </c>
      <c r="C192" s="57" t="s">
        <v>351</v>
      </c>
      <c r="D192" s="13" t="s">
        <v>289</v>
      </c>
      <c r="E192" s="13" t="s">
        <v>18</v>
      </c>
      <c r="G192" t="b">
        <f t="shared" si="6"/>
        <v>1</v>
      </c>
    </row>
    <row r="193" spans="1:7" x14ac:dyDescent="0.2">
      <c r="A193" s="55" t="s">
        <v>290</v>
      </c>
      <c r="B193" s="57">
        <v>1</v>
      </c>
      <c r="C193" s="57" t="s">
        <v>354</v>
      </c>
      <c r="D193" s="13" t="s">
        <v>290</v>
      </c>
      <c r="E193" s="13" t="s">
        <v>18</v>
      </c>
      <c r="G193" t="b">
        <f t="shared" si="6"/>
        <v>1</v>
      </c>
    </row>
    <row r="194" spans="1:7" x14ac:dyDescent="0.2">
      <c r="A194" s="55" t="s">
        <v>291</v>
      </c>
      <c r="B194" s="57">
        <v>1</v>
      </c>
      <c r="C194" s="57" t="s">
        <v>351</v>
      </c>
      <c r="D194" s="13" t="s">
        <v>291</v>
      </c>
      <c r="E194" s="13" t="s">
        <v>18</v>
      </c>
      <c r="G194" t="b">
        <f t="shared" si="6"/>
        <v>1</v>
      </c>
    </row>
    <row r="195" spans="1:7" x14ac:dyDescent="0.2">
      <c r="A195" s="55" t="s">
        <v>292</v>
      </c>
      <c r="B195" s="57">
        <v>1</v>
      </c>
      <c r="C195" s="57" t="s">
        <v>349</v>
      </c>
      <c r="D195" s="13" t="s">
        <v>292</v>
      </c>
      <c r="E195" s="13" t="s">
        <v>39</v>
      </c>
      <c r="G195" t="b">
        <f t="shared" si="6"/>
        <v>1</v>
      </c>
    </row>
    <row r="196" spans="1:7" x14ac:dyDescent="0.2">
      <c r="A196" s="55" t="s">
        <v>293</v>
      </c>
      <c r="B196" s="57">
        <v>1</v>
      </c>
      <c r="C196" s="57" t="s">
        <v>351</v>
      </c>
      <c r="D196" s="13" t="s">
        <v>293</v>
      </c>
      <c r="E196" s="13" t="s">
        <v>80</v>
      </c>
      <c r="G196" t="b">
        <f t="shared" si="6"/>
        <v>1</v>
      </c>
    </row>
    <row r="197" spans="1:7" x14ac:dyDescent="0.2">
      <c r="A197" s="55" t="s">
        <v>294</v>
      </c>
      <c r="B197" s="57">
        <v>1</v>
      </c>
      <c r="C197" s="57" t="s">
        <v>350</v>
      </c>
      <c r="D197" s="13" t="s">
        <v>294</v>
      </c>
      <c r="E197" s="13" t="s">
        <v>80</v>
      </c>
      <c r="G197" t="b">
        <f t="shared" si="6"/>
        <v>1</v>
      </c>
    </row>
    <row r="198" spans="1:7" x14ac:dyDescent="0.2">
      <c r="A198" s="55" t="s">
        <v>295</v>
      </c>
      <c r="B198" s="57">
        <v>1</v>
      </c>
      <c r="C198" s="57" t="s">
        <v>349</v>
      </c>
      <c r="D198" s="13" t="s">
        <v>295</v>
      </c>
      <c r="E198" s="13" t="s">
        <v>91</v>
      </c>
      <c r="G198" t="b">
        <f t="shared" si="6"/>
        <v>1</v>
      </c>
    </row>
    <row r="199" spans="1:7" x14ac:dyDescent="0.2">
      <c r="A199" s="55" t="s">
        <v>296</v>
      </c>
      <c r="B199" s="57">
        <v>1</v>
      </c>
      <c r="C199" s="57" t="s">
        <v>349</v>
      </c>
      <c r="D199" s="13" t="s">
        <v>296</v>
      </c>
      <c r="E199" s="13" t="s">
        <v>97</v>
      </c>
      <c r="G199" t="b">
        <f t="shared" si="6"/>
        <v>1</v>
      </c>
    </row>
    <row r="200" spans="1:7" x14ac:dyDescent="0.2">
      <c r="A200" s="55" t="s">
        <v>298</v>
      </c>
      <c r="B200" s="57">
        <v>1</v>
      </c>
      <c r="C200" s="57" t="s">
        <v>349</v>
      </c>
      <c r="D200" s="13" t="s">
        <v>298</v>
      </c>
      <c r="E200" s="13" t="s">
        <v>100</v>
      </c>
      <c r="G200" t="b">
        <f t="shared" si="6"/>
        <v>1</v>
      </c>
    </row>
    <row r="201" spans="1:7" x14ac:dyDescent="0.2">
      <c r="A201" s="55" t="s">
        <v>299</v>
      </c>
      <c r="B201" s="57">
        <v>1</v>
      </c>
      <c r="C201" s="57" t="s">
        <v>350</v>
      </c>
      <c r="D201" s="13" t="s">
        <v>299</v>
      </c>
      <c r="E201" s="13" t="s">
        <v>100</v>
      </c>
      <c r="G201" t="b">
        <f t="shared" si="6"/>
        <v>1</v>
      </c>
    </row>
    <row r="202" spans="1:7" x14ac:dyDescent="0.2">
      <c r="A202" s="55" t="s">
        <v>301</v>
      </c>
      <c r="B202" s="57">
        <v>1</v>
      </c>
      <c r="C202" s="57" t="s">
        <v>349</v>
      </c>
      <c r="D202" s="13" t="s">
        <v>301</v>
      </c>
      <c r="E202" s="13" t="s">
        <v>80</v>
      </c>
      <c r="G202" t="b">
        <f t="shared" si="6"/>
        <v>1</v>
      </c>
    </row>
    <row r="203" spans="1:7" x14ac:dyDescent="0.2">
      <c r="A203" s="55" t="s">
        <v>303</v>
      </c>
      <c r="B203" s="57">
        <v>1</v>
      </c>
      <c r="C203" s="57" t="s">
        <v>349</v>
      </c>
      <c r="D203" s="13" t="s">
        <v>303</v>
      </c>
      <c r="E203" s="13" t="s">
        <v>58</v>
      </c>
      <c r="G203" t="b">
        <f t="shared" si="6"/>
        <v>1</v>
      </c>
    </row>
    <row r="204" spans="1:7" x14ac:dyDescent="0.2">
      <c r="A204" s="55" t="s">
        <v>304</v>
      </c>
      <c r="B204" s="57">
        <v>1</v>
      </c>
      <c r="C204" s="57" t="s">
        <v>349</v>
      </c>
      <c r="D204" s="13" t="s">
        <v>304</v>
      </c>
      <c r="E204" s="13" t="s">
        <v>18</v>
      </c>
      <c r="G204" t="b">
        <f t="shared" si="6"/>
        <v>1</v>
      </c>
    </row>
    <row r="205" spans="1:7" x14ac:dyDescent="0.2">
      <c r="A205" s="55" t="s">
        <v>306</v>
      </c>
      <c r="B205" s="57">
        <v>1</v>
      </c>
      <c r="C205" s="57" t="s">
        <v>349</v>
      </c>
      <c r="D205" s="41" t="s">
        <v>306</v>
      </c>
      <c r="E205" s="41" t="s">
        <v>144</v>
      </c>
      <c r="G205" t="b">
        <f t="shared" si="6"/>
        <v>1</v>
      </c>
    </row>
    <row r="206" spans="1:7" x14ac:dyDescent="0.2">
      <c r="A206" s="55" t="s">
        <v>307</v>
      </c>
      <c r="B206" s="57">
        <v>1</v>
      </c>
      <c r="C206" s="57" t="s">
        <v>350</v>
      </c>
      <c r="D206" s="41" t="s">
        <v>307</v>
      </c>
      <c r="E206" s="41" t="s">
        <v>144</v>
      </c>
      <c r="G206" t="b">
        <f t="shared" si="6"/>
        <v>1</v>
      </c>
    </row>
    <row r="207" spans="1:7" x14ac:dyDescent="0.2">
      <c r="A207" s="55" t="s">
        <v>308</v>
      </c>
      <c r="B207" s="57">
        <v>1</v>
      </c>
      <c r="C207" s="57" t="s">
        <v>350</v>
      </c>
      <c r="D207" s="13" t="s">
        <v>308</v>
      </c>
      <c r="E207" s="13" t="s">
        <v>39</v>
      </c>
      <c r="G207" t="b">
        <f t="shared" si="6"/>
        <v>1</v>
      </c>
    </row>
    <row r="208" spans="1:7" x14ac:dyDescent="0.2">
      <c r="A208" s="55" t="s">
        <v>309</v>
      </c>
      <c r="B208" s="57">
        <v>1</v>
      </c>
      <c r="C208" s="57" t="s">
        <v>351</v>
      </c>
      <c r="D208" s="13" t="s">
        <v>309</v>
      </c>
      <c r="E208" s="13" t="s">
        <v>39</v>
      </c>
      <c r="G208" t="b">
        <f t="shared" si="6"/>
        <v>1</v>
      </c>
    </row>
    <row r="209" spans="1:7" x14ac:dyDescent="0.2">
      <c r="A209" s="55" t="s">
        <v>310</v>
      </c>
      <c r="B209" s="57">
        <v>1</v>
      </c>
      <c r="C209" s="57" t="s">
        <v>351</v>
      </c>
      <c r="D209" s="41" t="s">
        <v>310</v>
      </c>
      <c r="E209" s="41" t="s">
        <v>18</v>
      </c>
      <c r="G209" t="b">
        <f t="shared" si="6"/>
        <v>1</v>
      </c>
    </row>
    <row r="210" spans="1:7" x14ac:dyDescent="0.2">
      <c r="A210" s="55" t="s">
        <v>311</v>
      </c>
      <c r="B210" s="57">
        <v>1</v>
      </c>
      <c r="C210" s="57" t="s">
        <v>351</v>
      </c>
      <c r="D210" s="13" t="s">
        <v>311</v>
      </c>
      <c r="E210" s="13" t="s">
        <v>80</v>
      </c>
      <c r="G210" t="b">
        <f t="shared" si="6"/>
        <v>1</v>
      </c>
    </row>
    <row r="211" spans="1:7" x14ac:dyDescent="0.2">
      <c r="A211" s="55"/>
      <c r="B211" s="57"/>
      <c r="C211" s="57"/>
      <c r="D211" s="13"/>
      <c r="E211" s="13"/>
    </row>
    <row r="212" spans="1:7" x14ac:dyDescent="0.2">
      <c r="A212" s="55"/>
      <c r="B212" s="57"/>
      <c r="C212" s="57"/>
      <c r="D212" s="13"/>
      <c r="E212" s="13"/>
    </row>
    <row r="213" spans="1:7" x14ac:dyDescent="0.2">
      <c r="A213" s="55"/>
      <c r="B213" s="57"/>
      <c r="C213" s="57"/>
      <c r="D213" s="13"/>
      <c r="E213" s="13"/>
    </row>
    <row r="214" spans="1:7" x14ac:dyDescent="0.2">
      <c r="A214" s="55"/>
      <c r="B214" s="57"/>
      <c r="C214" s="57"/>
      <c r="D214" s="13"/>
      <c r="E214" s="13"/>
    </row>
    <row r="215" spans="1:7" x14ac:dyDescent="0.2">
      <c r="A215" s="55"/>
      <c r="B215" s="57"/>
      <c r="C215" s="57"/>
      <c r="D215" s="13"/>
      <c r="E215" s="13"/>
    </row>
    <row r="216" spans="1:7" x14ac:dyDescent="0.2">
      <c r="A216" s="55"/>
      <c r="B216" s="57"/>
      <c r="C216" s="57"/>
    </row>
    <row r="217" spans="1:7" x14ac:dyDescent="0.2">
      <c r="A217" s="55"/>
      <c r="B217" s="57"/>
      <c r="C217" s="57"/>
    </row>
    <row r="218" spans="1:7" x14ac:dyDescent="0.2">
      <c r="A218" s="55"/>
      <c r="B218" s="57"/>
      <c r="C218" s="57"/>
    </row>
    <row r="219" spans="1:7" x14ac:dyDescent="0.2">
      <c r="A219" s="55"/>
      <c r="B219" s="57"/>
      <c r="C219" s="57"/>
    </row>
    <row r="220" spans="1:7" x14ac:dyDescent="0.2">
      <c r="A220" s="55"/>
      <c r="B220" s="57"/>
      <c r="C220" s="57"/>
    </row>
    <row r="221" spans="1:7" x14ac:dyDescent="0.2">
      <c r="A221" s="55"/>
      <c r="B221" s="57"/>
      <c r="C221" s="57"/>
    </row>
    <row r="222" spans="1:7" x14ac:dyDescent="0.2">
      <c r="A222" s="55"/>
      <c r="B222" s="57"/>
      <c r="C222" s="57"/>
    </row>
    <row r="223" spans="1:7" x14ac:dyDescent="0.2">
      <c r="A223" s="55"/>
      <c r="B223" s="57"/>
      <c r="C223" s="57"/>
    </row>
    <row r="224" spans="1:7" x14ac:dyDescent="0.2">
      <c r="A224" s="55"/>
      <c r="B224" s="57">
        <f>207/209</f>
        <v>0.99043062200956933</v>
      </c>
      <c r="C224" s="57"/>
    </row>
    <row r="225" spans="1:3" x14ac:dyDescent="0.2">
      <c r="A225" s="55"/>
      <c r="B225" s="57"/>
      <c r="C225" s="57"/>
    </row>
    <row r="226" spans="1:3" x14ac:dyDescent="0.2">
      <c r="A226" s="55"/>
      <c r="B226" s="57"/>
      <c r="C226" s="57"/>
    </row>
    <row r="227" spans="1:3" x14ac:dyDescent="0.2">
      <c r="A227" s="55"/>
      <c r="B227" s="57"/>
      <c r="C227" s="57"/>
    </row>
    <row r="228" spans="1:3" x14ac:dyDescent="0.2">
      <c r="A228" s="55"/>
      <c r="B228" s="57"/>
      <c r="C228" s="57"/>
    </row>
    <row r="229" spans="1:3" x14ac:dyDescent="0.2">
      <c r="A229" s="55"/>
      <c r="B229" s="57"/>
      <c r="C229" s="57"/>
    </row>
    <row r="230" spans="1:3" x14ac:dyDescent="0.2">
      <c r="A230" s="55"/>
      <c r="B230" s="57"/>
      <c r="C230" s="57"/>
    </row>
    <row r="231" spans="1:3" x14ac:dyDescent="0.2">
      <c r="A231" s="55"/>
      <c r="B231" s="57"/>
      <c r="C231" s="57"/>
    </row>
    <row r="232" spans="1:3" x14ac:dyDescent="0.2">
      <c r="A232" s="55"/>
      <c r="B232" s="57"/>
      <c r="C232" s="57"/>
    </row>
    <row r="233" spans="1:3" x14ac:dyDescent="0.2">
      <c r="A233" s="55"/>
      <c r="B233" s="57"/>
      <c r="C233" s="57"/>
    </row>
  </sheetData>
  <sortState xmlns:xlrd2="http://schemas.microsoft.com/office/spreadsheetml/2017/richdata2" ref="A1:G324">
    <sortCondition ref="A1:A3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EFD24B-A390-2941-9891-69D55B31EC62}">
  <dimension ref="A1:F328"/>
  <sheetViews>
    <sheetView topLeftCell="A201" workbookViewId="0">
      <selection activeCell="A21" sqref="A21:XFD21"/>
    </sheetView>
  </sheetViews>
  <sheetFormatPr baseColWidth="10" defaultRowHeight="16" x14ac:dyDescent="0.2"/>
  <cols>
    <col min="1" max="1" width="34.1640625" customWidth="1"/>
    <col min="3" max="3" width="24.1640625" customWidth="1"/>
    <col min="4" max="4" width="23.6640625" customWidth="1"/>
    <col min="5" max="5" width="22.6640625" customWidth="1"/>
    <col min="6" max="6" width="42.33203125" customWidth="1"/>
  </cols>
  <sheetData>
    <row r="1" spans="1:6" x14ac:dyDescent="0.2">
      <c r="A1" s="55" t="s">
        <v>363</v>
      </c>
      <c r="B1" s="55" t="s">
        <v>364</v>
      </c>
      <c r="C1" s="55" t="s">
        <v>365</v>
      </c>
      <c r="D1" s="59" t="s">
        <v>0</v>
      </c>
      <c r="E1" s="59" t="s">
        <v>1</v>
      </c>
      <c r="F1" s="29"/>
    </row>
    <row r="2" spans="1:6" x14ac:dyDescent="0.2">
      <c r="A2" s="55" t="s">
        <v>20</v>
      </c>
      <c r="B2" s="57">
        <v>1</v>
      </c>
      <c r="C2" s="57" t="s">
        <v>355</v>
      </c>
      <c r="D2" s="50" t="s">
        <v>20</v>
      </c>
      <c r="E2" s="50" t="s">
        <v>21</v>
      </c>
      <c r="F2" s="29" t="b">
        <f>EXACT(A2,D2)</f>
        <v>1</v>
      </c>
    </row>
    <row r="3" spans="1:6" x14ac:dyDescent="0.2">
      <c r="A3" s="55" t="s">
        <v>24</v>
      </c>
      <c r="B3" s="57">
        <v>1</v>
      </c>
      <c r="C3" s="57" t="s">
        <v>356</v>
      </c>
      <c r="D3" s="50" t="s">
        <v>24</v>
      </c>
      <c r="E3" s="50" t="s">
        <v>21</v>
      </c>
      <c r="F3" s="29" t="b">
        <f t="shared" ref="F3:F66" si="0">EXACT(A3,D3)</f>
        <v>1</v>
      </c>
    </row>
    <row r="4" spans="1:6" x14ac:dyDescent="0.2">
      <c r="A4" s="55" t="s">
        <v>27</v>
      </c>
      <c r="B4" s="57">
        <v>1</v>
      </c>
      <c r="C4" s="57" t="s">
        <v>355</v>
      </c>
      <c r="D4" s="50" t="s">
        <v>27</v>
      </c>
      <c r="E4" s="50" t="s">
        <v>28</v>
      </c>
      <c r="F4" s="29" t="b">
        <f t="shared" si="0"/>
        <v>1</v>
      </c>
    </row>
    <row r="5" spans="1:6" x14ac:dyDescent="0.2">
      <c r="A5" s="55" t="s">
        <v>30</v>
      </c>
      <c r="B5" s="57">
        <v>1</v>
      </c>
      <c r="C5" s="57" t="s">
        <v>356</v>
      </c>
      <c r="D5" s="50" t="s">
        <v>30</v>
      </c>
      <c r="E5" s="50" t="s">
        <v>28</v>
      </c>
      <c r="F5" s="29" t="b">
        <f t="shared" si="0"/>
        <v>1</v>
      </c>
    </row>
    <row r="6" spans="1:6" x14ac:dyDescent="0.2">
      <c r="A6" s="55" t="s">
        <v>31</v>
      </c>
      <c r="B6" s="57">
        <v>1</v>
      </c>
      <c r="C6" s="57" t="s">
        <v>355</v>
      </c>
      <c r="D6" s="50" t="s">
        <v>31</v>
      </c>
      <c r="E6" s="50" t="s">
        <v>32</v>
      </c>
      <c r="F6" s="29" t="b">
        <f t="shared" si="0"/>
        <v>1</v>
      </c>
    </row>
    <row r="7" spans="1:6" x14ac:dyDescent="0.2">
      <c r="A7" s="55" t="s">
        <v>33</v>
      </c>
      <c r="B7" s="57">
        <v>1</v>
      </c>
      <c r="C7" s="57" t="s">
        <v>356</v>
      </c>
      <c r="D7" s="50" t="s">
        <v>33</v>
      </c>
      <c r="E7" s="50" t="s">
        <v>32</v>
      </c>
      <c r="F7" s="29" t="b">
        <f t="shared" si="0"/>
        <v>1</v>
      </c>
    </row>
    <row r="8" spans="1:6" x14ac:dyDescent="0.2">
      <c r="A8" s="55" t="s">
        <v>35</v>
      </c>
      <c r="B8" s="57">
        <v>1</v>
      </c>
      <c r="C8" s="57" t="s">
        <v>349</v>
      </c>
      <c r="D8" s="50" t="s">
        <v>35</v>
      </c>
      <c r="E8" s="50" t="s">
        <v>28</v>
      </c>
      <c r="F8" s="29" t="b">
        <f t="shared" si="0"/>
        <v>1</v>
      </c>
    </row>
    <row r="9" spans="1:6" x14ac:dyDescent="0.2">
      <c r="A9" s="55" t="s">
        <v>36</v>
      </c>
      <c r="B9" s="57">
        <v>1</v>
      </c>
      <c r="C9" s="57" t="s">
        <v>351</v>
      </c>
      <c r="D9" s="50" t="s">
        <v>36</v>
      </c>
      <c r="E9" s="50" t="s">
        <v>28</v>
      </c>
      <c r="F9" s="29" t="b">
        <f t="shared" si="0"/>
        <v>1</v>
      </c>
    </row>
    <row r="10" spans="1:6" x14ac:dyDescent="0.2">
      <c r="A10" s="55" t="s">
        <v>37</v>
      </c>
      <c r="B10" s="57">
        <v>1</v>
      </c>
      <c r="C10" s="57" t="s">
        <v>356</v>
      </c>
      <c r="D10" s="50" t="s">
        <v>37</v>
      </c>
      <c r="E10" s="50" t="s">
        <v>32</v>
      </c>
      <c r="F10" s="29" t="b">
        <f t="shared" si="0"/>
        <v>1</v>
      </c>
    </row>
    <row r="11" spans="1:6" x14ac:dyDescent="0.2">
      <c r="A11" s="55" t="s">
        <v>38</v>
      </c>
      <c r="B11" s="57">
        <v>1</v>
      </c>
      <c r="C11" s="57" t="s">
        <v>355</v>
      </c>
      <c r="D11" s="50" t="s">
        <v>38</v>
      </c>
      <c r="E11" s="50" t="s">
        <v>39</v>
      </c>
      <c r="F11" s="29" t="b">
        <f t="shared" si="0"/>
        <v>1</v>
      </c>
    </row>
    <row r="12" spans="1:6" x14ac:dyDescent="0.2">
      <c r="A12" s="55" t="s">
        <v>40</v>
      </c>
      <c r="B12" s="57">
        <v>1</v>
      </c>
      <c r="C12" s="57" t="s">
        <v>355</v>
      </c>
      <c r="D12" s="50" t="s">
        <v>40</v>
      </c>
      <c r="E12" s="22" t="s">
        <v>41</v>
      </c>
      <c r="F12" s="29" t="b">
        <f t="shared" si="0"/>
        <v>1</v>
      </c>
    </row>
    <row r="13" spans="1:6" x14ac:dyDescent="0.2">
      <c r="A13" s="55" t="s">
        <v>42</v>
      </c>
      <c r="B13" s="57">
        <v>1</v>
      </c>
      <c r="C13" s="57" t="s">
        <v>356</v>
      </c>
      <c r="D13" s="50" t="s">
        <v>42</v>
      </c>
      <c r="E13" s="22" t="s">
        <v>41</v>
      </c>
      <c r="F13" s="29" t="b">
        <f t="shared" si="0"/>
        <v>1</v>
      </c>
    </row>
    <row r="14" spans="1:6" x14ac:dyDescent="0.2">
      <c r="A14" s="55" t="s">
        <v>45</v>
      </c>
      <c r="B14" s="57">
        <v>1</v>
      </c>
      <c r="C14" s="57" t="s">
        <v>351</v>
      </c>
      <c r="D14" s="50" t="s">
        <v>45</v>
      </c>
      <c r="E14" s="50" t="s">
        <v>46</v>
      </c>
      <c r="F14" s="29" t="b">
        <f t="shared" si="0"/>
        <v>1</v>
      </c>
    </row>
    <row r="15" spans="1:6" x14ac:dyDescent="0.2">
      <c r="A15" s="55" t="s">
        <v>48</v>
      </c>
      <c r="B15" s="57">
        <v>1</v>
      </c>
      <c r="C15" s="57" t="s">
        <v>355</v>
      </c>
      <c r="D15" s="50" t="s">
        <v>48</v>
      </c>
      <c r="E15" s="50" t="s">
        <v>49</v>
      </c>
      <c r="F15" s="29" t="b">
        <f t="shared" si="0"/>
        <v>1</v>
      </c>
    </row>
    <row r="16" spans="1:6" x14ac:dyDescent="0.2">
      <c r="A16" s="55" t="s">
        <v>50</v>
      </c>
      <c r="B16" s="57">
        <v>1</v>
      </c>
      <c r="C16" s="57" t="s">
        <v>356</v>
      </c>
      <c r="D16" s="50" t="s">
        <v>50</v>
      </c>
      <c r="E16" s="50" t="s">
        <v>49</v>
      </c>
      <c r="F16" s="29" t="b">
        <f t="shared" si="0"/>
        <v>1</v>
      </c>
    </row>
    <row r="17" spans="1:6" x14ac:dyDescent="0.2">
      <c r="A17" s="55" t="s">
        <v>52</v>
      </c>
      <c r="B17" s="57">
        <v>1</v>
      </c>
      <c r="C17" s="57" t="s">
        <v>356</v>
      </c>
      <c r="D17" s="50" t="s">
        <v>52</v>
      </c>
      <c r="E17" s="50" t="s">
        <v>39</v>
      </c>
      <c r="F17" s="29" t="b">
        <f t="shared" si="0"/>
        <v>1</v>
      </c>
    </row>
    <row r="18" spans="1:6" x14ac:dyDescent="0.2">
      <c r="A18" s="55" t="s">
        <v>55</v>
      </c>
      <c r="B18" s="57">
        <v>1</v>
      </c>
      <c r="C18" s="57" t="s">
        <v>349</v>
      </c>
      <c r="D18" s="50" t="s">
        <v>55</v>
      </c>
      <c r="E18" s="50" t="s">
        <v>18</v>
      </c>
      <c r="F18" s="29" t="b">
        <f t="shared" si="0"/>
        <v>1</v>
      </c>
    </row>
    <row r="19" spans="1:6" x14ac:dyDescent="0.2">
      <c r="A19" s="55" t="s">
        <v>56</v>
      </c>
      <c r="B19" s="57">
        <v>1</v>
      </c>
      <c r="C19" s="57" t="s">
        <v>351</v>
      </c>
      <c r="D19" s="50" t="s">
        <v>56</v>
      </c>
      <c r="E19" s="50" t="s">
        <v>18</v>
      </c>
      <c r="F19" s="29" t="b">
        <f t="shared" si="0"/>
        <v>1</v>
      </c>
    </row>
    <row r="20" spans="1:6" x14ac:dyDescent="0.2">
      <c r="A20" s="55" t="s">
        <v>17</v>
      </c>
      <c r="B20" s="57">
        <v>1</v>
      </c>
      <c r="C20" s="57" t="s">
        <v>351</v>
      </c>
      <c r="D20" s="50" t="s">
        <v>17</v>
      </c>
      <c r="E20" s="50" t="s">
        <v>18</v>
      </c>
      <c r="F20" s="29" t="b">
        <f t="shared" si="0"/>
        <v>1</v>
      </c>
    </row>
    <row r="21" spans="1:6" x14ac:dyDescent="0.2">
      <c r="A21" s="55"/>
      <c r="B21" s="57"/>
      <c r="C21" s="57"/>
      <c r="D21" s="50"/>
      <c r="E21" s="50"/>
      <c r="F21" s="29"/>
    </row>
    <row r="22" spans="1:6" x14ac:dyDescent="0.2">
      <c r="A22" s="55" t="s">
        <v>59</v>
      </c>
      <c r="B22" s="57">
        <v>1</v>
      </c>
      <c r="C22" s="57" t="s">
        <v>355</v>
      </c>
      <c r="D22" s="50" t="s">
        <v>59</v>
      </c>
      <c r="E22" s="50" t="s">
        <v>28</v>
      </c>
      <c r="F22" s="29" t="b">
        <f t="shared" si="0"/>
        <v>1</v>
      </c>
    </row>
    <row r="23" spans="1:6" x14ac:dyDescent="0.2">
      <c r="A23" s="55" t="s">
        <v>61</v>
      </c>
      <c r="B23" s="57">
        <v>1</v>
      </c>
      <c r="C23" s="57" t="s">
        <v>356</v>
      </c>
      <c r="D23" s="50" t="s">
        <v>61</v>
      </c>
      <c r="E23" s="50" t="s">
        <v>28</v>
      </c>
      <c r="F23" s="29" t="b">
        <f t="shared" si="0"/>
        <v>1</v>
      </c>
    </row>
    <row r="24" spans="1:6" x14ac:dyDescent="0.2">
      <c r="A24" s="55" t="s">
        <v>64</v>
      </c>
      <c r="B24" s="57">
        <v>1</v>
      </c>
      <c r="C24" s="57" t="s">
        <v>349</v>
      </c>
      <c r="D24" s="50" t="s">
        <v>64</v>
      </c>
      <c r="E24" s="50" t="s">
        <v>18</v>
      </c>
      <c r="F24" s="29" t="b">
        <f t="shared" si="0"/>
        <v>1</v>
      </c>
    </row>
    <row r="25" spans="1:6" x14ac:dyDescent="0.2">
      <c r="A25" s="55" t="s">
        <v>65</v>
      </c>
      <c r="B25" s="57">
        <v>1</v>
      </c>
      <c r="C25" s="57" t="s">
        <v>351</v>
      </c>
      <c r="D25" s="50" t="s">
        <v>65</v>
      </c>
      <c r="E25" s="50" t="s">
        <v>18</v>
      </c>
      <c r="F25" s="29" t="b">
        <f t="shared" si="0"/>
        <v>1</v>
      </c>
    </row>
    <row r="26" spans="1:6" x14ac:dyDescent="0.2">
      <c r="A26" s="55" t="s">
        <v>66</v>
      </c>
      <c r="B26" s="57">
        <v>1</v>
      </c>
      <c r="C26" s="57" t="s">
        <v>349</v>
      </c>
      <c r="D26" s="50" t="s">
        <v>66</v>
      </c>
      <c r="E26" s="50" t="s">
        <v>18</v>
      </c>
      <c r="F26" s="29" t="b">
        <f t="shared" si="0"/>
        <v>1</v>
      </c>
    </row>
    <row r="27" spans="1:6" x14ac:dyDescent="0.2">
      <c r="A27" s="55" t="s">
        <v>67</v>
      </c>
      <c r="B27" s="57">
        <v>1</v>
      </c>
      <c r="C27" s="57" t="s">
        <v>355</v>
      </c>
      <c r="D27" s="50" t="s">
        <v>67</v>
      </c>
      <c r="E27" s="50" t="s">
        <v>68</v>
      </c>
      <c r="F27" s="29" t="b">
        <f t="shared" si="0"/>
        <v>1</v>
      </c>
    </row>
    <row r="28" spans="1:6" x14ac:dyDescent="0.2">
      <c r="A28" s="55" t="s">
        <v>70</v>
      </c>
      <c r="B28" s="57">
        <v>1</v>
      </c>
      <c r="C28" s="57" t="s">
        <v>351</v>
      </c>
      <c r="D28" s="50" t="s">
        <v>70</v>
      </c>
      <c r="E28" s="50" t="s">
        <v>58</v>
      </c>
      <c r="F28" s="29" t="b">
        <f t="shared" si="0"/>
        <v>1</v>
      </c>
    </row>
    <row r="29" spans="1:6" x14ac:dyDescent="0.2">
      <c r="A29" s="55" t="s">
        <v>73</v>
      </c>
      <c r="B29" s="57">
        <v>1</v>
      </c>
      <c r="C29" s="57" t="s">
        <v>351</v>
      </c>
      <c r="D29" s="50" t="s">
        <v>73</v>
      </c>
      <c r="E29" s="50" t="s">
        <v>58</v>
      </c>
      <c r="F29" s="29" t="b">
        <f t="shared" si="0"/>
        <v>1</v>
      </c>
    </row>
    <row r="30" spans="1:6" x14ac:dyDescent="0.2">
      <c r="A30" s="55"/>
      <c r="B30" s="57"/>
      <c r="C30" s="57"/>
      <c r="D30" s="50"/>
      <c r="E30" s="50"/>
      <c r="F30" s="29"/>
    </row>
    <row r="31" spans="1:6" x14ac:dyDescent="0.2">
      <c r="A31" s="55"/>
      <c r="B31" s="57"/>
      <c r="C31" s="57"/>
      <c r="D31" s="50"/>
      <c r="E31" s="50"/>
      <c r="F31" s="29"/>
    </row>
    <row r="32" spans="1:6" x14ac:dyDescent="0.2">
      <c r="A32" s="55" t="s">
        <v>79</v>
      </c>
      <c r="B32" s="57">
        <v>1</v>
      </c>
      <c r="C32" s="57" t="s">
        <v>349</v>
      </c>
      <c r="D32" s="50" t="s">
        <v>79</v>
      </c>
      <c r="E32" s="22" t="s">
        <v>80</v>
      </c>
      <c r="F32" s="29" t="b">
        <f t="shared" si="0"/>
        <v>1</v>
      </c>
    </row>
    <row r="33" spans="1:6" x14ac:dyDescent="0.2">
      <c r="A33" s="55" t="s">
        <v>81</v>
      </c>
      <c r="B33" s="57">
        <v>1</v>
      </c>
      <c r="C33" s="57" t="s">
        <v>350</v>
      </c>
      <c r="D33" s="50" t="s">
        <v>81</v>
      </c>
      <c r="E33" s="22" t="s">
        <v>80</v>
      </c>
      <c r="F33" s="29" t="b">
        <f t="shared" si="0"/>
        <v>1</v>
      </c>
    </row>
    <row r="34" spans="1:6" x14ac:dyDescent="0.2">
      <c r="A34" s="55" t="s">
        <v>83</v>
      </c>
      <c r="B34" s="57">
        <v>1</v>
      </c>
      <c r="C34" s="57" t="s">
        <v>351</v>
      </c>
      <c r="D34" s="50" t="s">
        <v>83</v>
      </c>
      <c r="E34" s="22" t="s">
        <v>84</v>
      </c>
      <c r="F34" s="29" t="b">
        <f t="shared" si="0"/>
        <v>1</v>
      </c>
    </row>
    <row r="35" spans="1:6" x14ac:dyDescent="0.2">
      <c r="A35" s="55" t="s">
        <v>86</v>
      </c>
      <c r="B35" s="57">
        <v>1</v>
      </c>
      <c r="C35" s="57" t="s">
        <v>355</v>
      </c>
      <c r="D35" s="50" t="s">
        <v>86</v>
      </c>
      <c r="E35" s="50" t="s">
        <v>87</v>
      </c>
      <c r="F35" s="29" t="b">
        <f t="shared" si="0"/>
        <v>1</v>
      </c>
    </row>
    <row r="36" spans="1:6" x14ac:dyDescent="0.2">
      <c r="A36" s="55" t="s">
        <v>88</v>
      </c>
      <c r="B36" s="57">
        <v>1</v>
      </c>
      <c r="C36" s="57" t="s">
        <v>356</v>
      </c>
      <c r="D36" s="50" t="s">
        <v>88</v>
      </c>
      <c r="E36" s="50" t="s">
        <v>18</v>
      </c>
      <c r="F36" s="29" t="b">
        <f t="shared" si="0"/>
        <v>1</v>
      </c>
    </row>
    <row r="37" spans="1:6" x14ac:dyDescent="0.2">
      <c r="A37" s="55" t="s">
        <v>89</v>
      </c>
      <c r="B37" s="57">
        <v>1</v>
      </c>
      <c r="C37" s="57" t="s">
        <v>351</v>
      </c>
      <c r="D37" s="50" t="s">
        <v>89</v>
      </c>
      <c r="E37" s="50" t="s">
        <v>18</v>
      </c>
      <c r="F37" s="29" t="b">
        <f t="shared" si="0"/>
        <v>1</v>
      </c>
    </row>
    <row r="38" spans="1:6" x14ac:dyDescent="0.2">
      <c r="A38" s="55" t="s">
        <v>90</v>
      </c>
      <c r="B38" s="57">
        <v>1</v>
      </c>
      <c r="C38" s="57" t="s">
        <v>355</v>
      </c>
      <c r="D38" s="50" t="s">
        <v>90</v>
      </c>
      <c r="E38" s="50" t="s">
        <v>91</v>
      </c>
      <c r="F38" s="29" t="b">
        <f t="shared" si="0"/>
        <v>1</v>
      </c>
    </row>
    <row r="39" spans="1:6" x14ac:dyDescent="0.2">
      <c r="A39" s="55" t="s">
        <v>92</v>
      </c>
      <c r="B39" s="57">
        <v>1</v>
      </c>
      <c r="C39" s="57" t="s">
        <v>356</v>
      </c>
      <c r="D39" s="50" t="s">
        <v>92</v>
      </c>
      <c r="E39" s="50" t="s">
        <v>91</v>
      </c>
      <c r="F39" s="29" t="b">
        <f t="shared" si="0"/>
        <v>1</v>
      </c>
    </row>
    <row r="40" spans="1:6" x14ac:dyDescent="0.2">
      <c r="A40" s="55" t="s">
        <v>93</v>
      </c>
      <c r="B40" s="57">
        <v>1</v>
      </c>
      <c r="C40" s="57" t="s">
        <v>350</v>
      </c>
      <c r="D40" s="50" t="s">
        <v>93</v>
      </c>
      <c r="E40" s="50" t="s">
        <v>87</v>
      </c>
      <c r="F40" s="29" t="b">
        <f t="shared" si="0"/>
        <v>1</v>
      </c>
    </row>
    <row r="41" spans="1:6" x14ac:dyDescent="0.2">
      <c r="A41" s="55" t="s">
        <v>94</v>
      </c>
      <c r="B41" s="57">
        <v>1</v>
      </c>
      <c r="C41" s="57" t="s">
        <v>351</v>
      </c>
      <c r="D41" s="50" t="s">
        <v>94</v>
      </c>
      <c r="E41" s="50" t="s">
        <v>18</v>
      </c>
      <c r="F41" s="29" t="b">
        <f t="shared" si="0"/>
        <v>1</v>
      </c>
    </row>
    <row r="42" spans="1:6" x14ac:dyDescent="0.2">
      <c r="A42" s="55" t="s">
        <v>96</v>
      </c>
      <c r="B42" s="57">
        <v>1</v>
      </c>
      <c r="C42" s="57" t="s">
        <v>355</v>
      </c>
      <c r="D42" s="50" t="s">
        <v>96</v>
      </c>
      <c r="E42" s="50" t="s">
        <v>97</v>
      </c>
      <c r="F42" s="29" t="b">
        <f t="shared" si="0"/>
        <v>1</v>
      </c>
    </row>
    <row r="43" spans="1:6" x14ac:dyDescent="0.2">
      <c r="A43" s="55" t="s">
        <v>99</v>
      </c>
      <c r="B43" s="57">
        <v>1</v>
      </c>
      <c r="C43" s="57" t="s">
        <v>356</v>
      </c>
      <c r="D43" s="50" t="s">
        <v>99</v>
      </c>
      <c r="E43" s="50" t="s">
        <v>100</v>
      </c>
      <c r="F43" s="29" t="b">
        <f t="shared" si="0"/>
        <v>1</v>
      </c>
    </row>
    <row r="44" spans="1:6" x14ac:dyDescent="0.2">
      <c r="A44" s="55" t="s">
        <v>101</v>
      </c>
      <c r="B44" s="57">
        <v>1</v>
      </c>
      <c r="C44" s="57" t="s">
        <v>355</v>
      </c>
      <c r="D44" s="50" t="s">
        <v>101</v>
      </c>
      <c r="E44" s="50" t="s">
        <v>18</v>
      </c>
      <c r="F44" s="29" t="b">
        <f t="shared" si="0"/>
        <v>1</v>
      </c>
    </row>
    <row r="45" spans="1:6" x14ac:dyDescent="0.2">
      <c r="A45" s="55" t="s">
        <v>102</v>
      </c>
      <c r="B45" s="57">
        <v>1</v>
      </c>
      <c r="C45" s="57" t="s">
        <v>356</v>
      </c>
      <c r="D45" s="50" t="s">
        <v>102</v>
      </c>
      <c r="E45" s="50" t="s">
        <v>18</v>
      </c>
      <c r="F45" s="29" t="b">
        <f t="shared" si="0"/>
        <v>1</v>
      </c>
    </row>
    <row r="46" spans="1:6" x14ac:dyDescent="0.2">
      <c r="A46" s="55" t="s">
        <v>104</v>
      </c>
      <c r="B46" s="57">
        <v>1</v>
      </c>
      <c r="C46" s="57" t="s">
        <v>355</v>
      </c>
      <c r="D46" s="50" t="s">
        <v>104</v>
      </c>
      <c r="E46" s="22" t="s">
        <v>80</v>
      </c>
      <c r="F46" s="29" t="b">
        <f t="shared" si="0"/>
        <v>1</v>
      </c>
    </row>
    <row r="47" spans="1:6" x14ac:dyDescent="0.2">
      <c r="A47" s="55" t="s">
        <v>106</v>
      </c>
      <c r="B47" s="57">
        <v>1</v>
      </c>
      <c r="C47" s="57" t="s">
        <v>356</v>
      </c>
      <c r="D47" s="50" t="s">
        <v>106</v>
      </c>
      <c r="E47" s="22" t="s">
        <v>80</v>
      </c>
      <c r="F47" s="29" t="b">
        <f t="shared" si="0"/>
        <v>1</v>
      </c>
    </row>
    <row r="48" spans="1:6" x14ac:dyDescent="0.2">
      <c r="A48" s="55" t="s">
        <v>107</v>
      </c>
      <c r="B48" s="57">
        <v>1</v>
      </c>
      <c r="C48" s="57" t="s">
        <v>355</v>
      </c>
      <c r="D48" s="50" t="s">
        <v>107</v>
      </c>
      <c r="E48" s="22" t="s">
        <v>80</v>
      </c>
      <c r="F48" s="29" t="b">
        <f t="shared" si="0"/>
        <v>1</v>
      </c>
    </row>
    <row r="49" spans="1:6" x14ac:dyDescent="0.2">
      <c r="A49" s="55" t="s">
        <v>109</v>
      </c>
      <c r="B49" s="57">
        <v>1</v>
      </c>
      <c r="C49" s="57" t="s">
        <v>356</v>
      </c>
      <c r="D49" s="50" t="s">
        <v>109</v>
      </c>
      <c r="E49" s="22" t="s">
        <v>80</v>
      </c>
      <c r="F49" s="29" t="b">
        <f t="shared" si="0"/>
        <v>1</v>
      </c>
    </row>
    <row r="50" spans="1:6" x14ac:dyDescent="0.2">
      <c r="A50" s="55" t="s">
        <v>110</v>
      </c>
      <c r="B50" s="57">
        <v>1</v>
      </c>
      <c r="C50" s="57" t="s">
        <v>355</v>
      </c>
      <c r="D50" s="50" t="s">
        <v>110</v>
      </c>
      <c r="E50" s="50" t="s">
        <v>18</v>
      </c>
      <c r="F50" s="29" t="b">
        <f t="shared" si="0"/>
        <v>1</v>
      </c>
    </row>
    <row r="51" spans="1:6" x14ac:dyDescent="0.2">
      <c r="A51" s="55" t="s">
        <v>111</v>
      </c>
      <c r="B51" s="57">
        <v>1</v>
      </c>
      <c r="C51" s="57" t="s">
        <v>356</v>
      </c>
      <c r="D51" s="50" t="s">
        <v>111</v>
      </c>
      <c r="E51" s="50" t="s">
        <v>18</v>
      </c>
      <c r="F51" s="29" t="b">
        <f t="shared" si="0"/>
        <v>1</v>
      </c>
    </row>
    <row r="52" spans="1:6" x14ac:dyDescent="0.2">
      <c r="A52" s="55" t="s">
        <v>112</v>
      </c>
      <c r="B52" s="57">
        <v>1</v>
      </c>
      <c r="C52" s="57" t="s">
        <v>356</v>
      </c>
      <c r="D52" s="50" t="s">
        <v>112</v>
      </c>
      <c r="E52" s="50" t="s">
        <v>39</v>
      </c>
      <c r="F52" s="29" t="b">
        <f t="shared" si="0"/>
        <v>1</v>
      </c>
    </row>
    <row r="53" spans="1:6" x14ac:dyDescent="0.2">
      <c r="A53" s="55" t="s">
        <v>115</v>
      </c>
      <c r="B53" s="57">
        <v>1</v>
      </c>
      <c r="C53" s="57" t="s">
        <v>355</v>
      </c>
      <c r="D53" s="50" t="s">
        <v>115</v>
      </c>
      <c r="E53" s="50" t="s">
        <v>116</v>
      </c>
      <c r="F53" s="29" t="b">
        <f t="shared" si="0"/>
        <v>1</v>
      </c>
    </row>
    <row r="54" spans="1:6" x14ac:dyDescent="0.2">
      <c r="A54" s="55" t="s">
        <v>117</v>
      </c>
      <c r="B54" s="57">
        <v>1</v>
      </c>
      <c r="C54" s="57" t="s">
        <v>356</v>
      </c>
      <c r="D54" s="50" t="s">
        <v>117</v>
      </c>
      <c r="E54" s="50" t="s">
        <v>116</v>
      </c>
      <c r="F54" s="29" t="b">
        <f t="shared" si="0"/>
        <v>1</v>
      </c>
    </row>
    <row r="55" spans="1:6" x14ac:dyDescent="0.2">
      <c r="A55" s="55" t="s">
        <v>118</v>
      </c>
      <c r="B55" s="57">
        <v>1</v>
      </c>
      <c r="C55" s="57" t="s">
        <v>355</v>
      </c>
      <c r="D55" s="50" t="s">
        <v>118</v>
      </c>
      <c r="E55" s="22" t="s">
        <v>119</v>
      </c>
      <c r="F55" s="29" t="b">
        <f t="shared" si="0"/>
        <v>1</v>
      </c>
    </row>
    <row r="56" spans="1:6" x14ac:dyDescent="0.2">
      <c r="A56" s="55" t="s">
        <v>120</v>
      </c>
      <c r="B56" s="57">
        <v>1</v>
      </c>
      <c r="C56" s="57" t="s">
        <v>355</v>
      </c>
      <c r="D56" s="50" t="s">
        <v>120</v>
      </c>
      <c r="E56" s="50" t="s">
        <v>18</v>
      </c>
      <c r="F56" s="29" t="b">
        <f t="shared" si="0"/>
        <v>1</v>
      </c>
    </row>
    <row r="57" spans="1:6" x14ac:dyDescent="0.2">
      <c r="A57" s="55" t="s">
        <v>121</v>
      </c>
      <c r="B57" s="57">
        <v>1</v>
      </c>
      <c r="C57" s="57" t="s">
        <v>355</v>
      </c>
      <c r="D57" s="50" t="s">
        <v>121</v>
      </c>
      <c r="E57" s="50" t="s">
        <v>39</v>
      </c>
      <c r="F57" s="29" t="b">
        <f t="shared" si="0"/>
        <v>1</v>
      </c>
    </row>
    <row r="58" spans="1:6" x14ac:dyDescent="0.2">
      <c r="A58" s="55" t="s">
        <v>122</v>
      </c>
      <c r="B58" s="57">
        <v>1</v>
      </c>
      <c r="C58" s="57" t="s">
        <v>355</v>
      </c>
      <c r="D58" s="50" t="s">
        <v>122</v>
      </c>
      <c r="E58" s="50" t="s">
        <v>39</v>
      </c>
      <c r="F58" s="29" t="b">
        <f t="shared" si="0"/>
        <v>1</v>
      </c>
    </row>
    <row r="59" spans="1:6" x14ac:dyDescent="0.2">
      <c r="A59" s="55" t="s">
        <v>123</v>
      </c>
      <c r="B59" s="57">
        <v>1</v>
      </c>
      <c r="C59" s="57" t="s">
        <v>356</v>
      </c>
      <c r="D59" s="50" t="s">
        <v>123</v>
      </c>
      <c r="E59" s="50" t="s">
        <v>39</v>
      </c>
      <c r="F59" s="29" t="b">
        <f t="shared" si="0"/>
        <v>1</v>
      </c>
    </row>
    <row r="60" spans="1:6" x14ac:dyDescent="0.2">
      <c r="A60" s="55" t="s">
        <v>125</v>
      </c>
      <c r="B60" s="57">
        <v>1</v>
      </c>
      <c r="C60" s="57" t="s">
        <v>355</v>
      </c>
      <c r="D60" s="50" t="s">
        <v>125</v>
      </c>
      <c r="E60" s="50" t="s">
        <v>39</v>
      </c>
      <c r="F60" s="29" t="b">
        <f t="shared" si="0"/>
        <v>1</v>
      </c>
    </row>
    <row r="61" spans="1:6" x14ac:dyDescent="0.2">
      <c r="A61" s="55" t="s">
        <v>126</v>
      </c>
      <c r="B61" s="57">
        <v>1</v>
      </c>
      <c r="C61" s="57" t="s">
        <v>356</v>
      </c>
      <c r="D61" s="50" t="s">
        <v>126</v>
      </c>
      <c r="E61" s="50" t="s">
        <v>39</v>
      </c>
      <c r="F61" s="29" t="b">
        <f t="shared" si="0"/>
        <v>1</v>
      </c>
    </row>
    <row r="62" spans="1:6" x14ac:dyDescent="0.2">
      <c r="A62" s="55" t="s">
        <v>127</v>
      </c>
      <c r="B62" s="57">
        <v>1</v>
      </c>
      <c r="C62" s="57" t="s">
        <v>355</v>
      </c>
      <c r="D62" s="50" t="s">
        <v>127</v>
      </c>
      <c r="E62" s="50" t="s">
        <v>39</v>
      </c>
      <c r="F62" s="29" t="b">
        <f t="shared" si="0"/>
        <v>1</v>
      </c>
    </row>
    <row r="63" spans="1:6" x14ac:dyDescent="0.2">
      <c r="A63" s="55" t="s">
        <v>128</v>
      </c>
      <c r="B63" s="57">
        <v>1</v>
      </c>
      <c r="C63" s="57" t="s">
        <v>356</v>
      </c>
      <c r="D63" s="50" t="s">
        <v>128</v>
      </c>
      <c r="E63" s="50" t="s">
        <v>39</v>
      </c>
      <c r="F63" s="29" t="b">
        <f t="shared" si="0"/>
        <v>1</v>
      </c>
    </row>
    <row r="64" spans="1:6" x14ac:dyDescent="0.2">
      <c r="A64" s="55" t="s">
        <v>129</v>
      </c>
      <c r="B64" s="57">
        <v>1</v>
      </c>
      <c r="C64" s="57" t="s">
        <v>355</v>
      </c>
      <c r="D64" s="50" t="s">
        <v>129</v>
      </c>
      <c r="E64" s="50" t="s">
        <v>39</v>
      </c>
      <c r="F64" s="29" t="b">
        <f t="shared" si="0"/>
        <v>1</v>
      </c>
    </row>
    <row r="65" spans="1:6" x14ac:dyDescent="0.2">
      <c r="A65" s="55" t="s">
        <v>130</v>
      </c>
      <c r="B65" s="57">
        <v>1</v>
      </c>
      <c r="C65" s="57" t="s">
        <v>356</v>
      </c>
      <c r="D65" s="50" t="s">
        <v>130</v>
      </c>
      <c r="E65" s="50" t="s">
        <v>39</v>
      </c>
      <c r="F65" s="29" t="b">
        <f t="shared" si="0"/>
        <v>1</v>
      </c>
    </row>
    <row r="66" spans="1:6" x14ac:dyDescent="0.2">
      <c r="A66" s="55" t="s">
        <v>131</v>
      </c>
      <c r="B66" s="57">
        <v>1</v>
      </c>
      <c r="C66" s="57" t="s">
        <v>355</v>
      </c>
      <c r="D66" s="50" t="s">
        <v>131</v>
      </c>
      <c r="E66" s="50" t="s">
        <v>39</v>
      </c>
      <c r="F66" s="29" t="b">
        <f t="shared" si="0"/>
        <v>1</v>
      </c>
    </row>
    <row r="67" spans="1:6" x14ac:dyDescent="0.2">
      <c r="A67" s="55" t="s">
        <v>132</v>
      </c>
      <c r="B67" s="57">
        <v>1</v>
      </c>
      <c r="C67" s="57" t="s">
        <v>355</v>
      </c>
      <c r="D67" s="50" t="s">
        <v>132</v>
      </c>
      <c r="E67" s="50" t="s">
        <v>39</v>
      </c>
      <c r="F67" s="29" t="b">
        <f t="shared" ref="F67:F130" si="1">EXACT(A67,D67)</f>
        <v>1</v>
      </c>
    </row>
    <row r="68" spans="1:6" x14ac:dyDescent="0.2">
      <c r="A68" s="55" t="s">
        <v>133</v>
      </c>
      <c r="B68" s="57">
        <v>1</v>
      </c>
      <c r="C68" s="57" t="s">
        <v>355</v>
      </c>
      <c r="D68" s="50" t="s">
        <v>133</v>
      </c>
      <c r="E68" s="50" t="s">
        <v>39</v>
      </c>
      <c r="F68" s="29" t="b">
        <f t="shared" si="1"/>
        <v>1</v>
      </c>
    </row>
    <row r="69" spans="1:6" x14ac:dyDescent="0.2">
      <c r="A69" s="55" t="s">
        <v>134</v>
      </c>
      <c r="B69" s="57">
        <v>1</v>
      </c>
      <c r="C69" s="57" t="s">
        <v>356</v>
      </c>
      <c r="D69" s="50" t="s">
        <v>134</v>
      </c>
      <c r="E69" s="50" t="s">
        <v>39</v>
      </c>
      <c r="F69" s="29" t="b">
        <f t="shared" si="1"/>
        <v>1</v>
      </c>
    </row>
    <row r="70" spans="1:6" x14ac:dyDescent="0.2">
      <c r="A70" s="55" t="s">
        <v>135</v>
      </c>
      <c r="B70" s="57">
        <v>1</v>
      </c>
      <c r="C70" s="57" t="s">
        <v>355</v>
      </c>
      <c r="D70" s="50" t="s">
        <v>135</v>
      </c>
      <c r="E70" s="50" t="s">
        <v>39</v>
      </c>
      <c r="F70" s="29" t="b">
        <f t="shared" si="1"/>
        <v>1</v>
      </c>
    </row>
    <row r="71" spans="1:6" x14ac:dyDescent="0.2">
      <c r="A71" s="55" t="s">
        <v>136</v>
      </c>
      <c r="B71" s="57">
        <v>1</v>
      </c>
      <c r="C71" s="57" t="s">
        <v>355</v>
      </c>
      <c r="D71" s="50" t="s">
        <v>136</v>
      </c>
      <c r="E71" s="50" t="s">
        <v>18</v>
      </c>
      <c r="F71" s="29" t="b">
        <f t="shared" si="1"/>
        <v>1</v>
      </c>
    </row>
    <row r="72" spans="1:6" x14ac:dyDescent="0.2">
      <c r="A72" s="55" t="s">
        <v>137</v>
      </c>
      <c r="B72" s="57">
        <v>1</v>
      </c>
      <c r="C72" s="57" t="s">
        <v>355</v>
      </c>
      <c r="D72" s="50" t="s">
        <v>137</v>
      </c>
      <c r="E72" s="50" t="s">
        <v>116</v>
      </c>
      <c r="F72" s="29" t="b">
        <f t="shared" si="1"/>
        <v>1</v>
      </c>
    </row>
    <row r="73" spans="1:6" x14ac:dyDescent="0.2">
      <c r="A73" s="55" t="s">
        <v>138</v>
      </c>
      <c r="B73" s="57">
        <v>1</v>
      </c>
      <c r="C73" s="57" t="s">
        <v>355</v>
      </c>
      <c r="D73" s="50" t="s">
        <v>138</v>
      </c>
      <c r="E73" s="50" t="s">
        <v>116</v>
      </c>
      <c r="F73" s="29" t="b">
        <f t="shared" si="1"/>
        <v>1</v>
      </c>
    </row>
    <row r="74" spans="1:6" x14ac:dyDescent="0.2">
      <c r="A74" s="55" t="s">
        <v>139</v>
      </c>
      <c r="B74" s="57">
        <v>1</v>
      </c>
      <c r="C74" s="57" t="s">
        <v>356</v>
      </c>
      <c r="D74" s="50" t="s">
        <v>139</v>
      </c>
      <c r="E74" s="50" t="s">
        <v>116</v>
      </c>
      <c r="F74" s="29" t="b">
        <f t="shared" si="1"/>
        <v>1</v>
      </c>
    </row>
    <row r="75" spans="1:6" x14ac:dyDescent="0.2">
      <c r="A75" s="55" t="s">
        <v>140</v>
      </c>
      <c r="B75" s="57">
        <v>1</v>
      </c>
      <c r="C75" s="57" t="s">
        <v>355</v>
      </c>
      <c r="D75" s="50" t="s">
        <v>140</v>
      </c>
      <c r="E75" s="50" t="s">
        <v>116</v>
      </c>
      <c r="F75" s="29" t="b">
        <f t="shared" si="1"/>
        <v>1</v>
      </c>
    </row>
    <row r="76" spans="1:6" x14ac:dyDescent="0.2">
      <c r="A76" s="55" t="s">
        <v>141</v>
      </c>
      <c r="B76" s="57">
        <v>1</v>
      </c>
      <c r="C76" s="57" t="s">
        <v>356</v>
      </c>
      <c r="D76" s="50" t="s">
        <v>141</v>
      </c>
      <c r="E76" s="50" t="s">
        <v>116</v>
      </c>
      <c r="F76" s="29" t="b">
        <f t="shared" si="1"/>
        <v>1</v>
      </c>
    </row>
    <row r="77" spans="1:6" x14ac:dyDescent="0.2">
      <c r="A77" s="55" t="s">
        <v>142</v>
      </c>
      <c r="B77" s="57">
        <v>1</v>
      </c>
      <c r="C77" s="57" t="s">
        <v>355</v>
      </c>
      <c r="D77" s="50" t="s">
        <v>142</v>
      </c>
      <c r="E77" s="50" t="s">
        <v>18</v>
      </c>
      <c r="F77" s="29" t="b">
        <f t="shared" si="1"/>
        <v>1</v>
      </c>
    </row>
    <row r="78" spans="1:6" x14ac:dyDescent="0.2">
      <c r="A78" s="55" t="s">
        <v>143</v>
      </c>
      <c r="B78" s="57">
        <v>1</v>
      </c>
      <c r="C78" s="57" t="s">
        <v>355</v>
      </c>
      <c r="D78" s="50" t="s">
        <v>143</v>
      </c>
      <c r="E78" s="50" t="s">
        <v>144</v>
      </c>
      <c r="F78" s="29" t="b">
        <f t="shared" si="1"/>
        <v>1</v>
      </c>
    </row>
    <row r="79" spans="1:6" x14ac:dyDescent="0.2">
      <c r="A79" s="55" t="s">
        <v>145</v>
      </c>
      <c r="B79" s="57">
        <v>1</v>
      </c>
      <c r="C79" s="57" t="s">
        <v>355</v>
      </c>
      <c r="D79" s="50" t="s">
        <v>145</v>
      </c>
      <c r="E79" s="50" t="s">
        <v>116</v>
      </c>
      <c r="F79" s="29" t="b">
        <f t="shared" si="1"/>
        <v>1</v>
      </c>
    </row>
    <row r="80" spans="1:6" x14ac:dyDescent="0.2">
      <c r="A80" s="55" t="s">
        <v>146</v>
      </c>
      <c r="B80" s="57">
        <v>1</v>
      </c>
      <c r="C80" s="57" t="s">
        <v>355</v>
      </c>
      <c r="D80" s="50" t="s">
        <v>146</v>
      </c>
      <c r="E80" s="50" t="s">
        <v>18</v>
      </c>
      <c r="F80" s="29" t="b">
        <f t="shared" si="1"/>
        <v>1</v>
      </c>
    </row>
    <row r="81" spans="1:6" x14ac:dyDescent="0.2">
      <c r="A81" s="55" t="s">
        <v>147</v>
      </c>
      <c r="B81" s="57">
        <v>1</v>
      </c>
      <c r="C81" s="57" t="s">
        <v>355</v>
      </c>
      <c r="D81" s="50" t="s">
        <v>147</v>
      </c>
      <c r="E81" s="50" t="s">
        <v>18</v>
      </c>
      <c r="F81" s="29" t="b">
        <f t="shared" si="1"/>
        <v>1</v>
      </c>
    </row>
    <row r="82" spans="1:6" x14ac:dyDescent="0.2">
      <c r="A82" s="55" t="s">
        <v>148</v>
      </c>
      <c r="B82" s="57">
        <v>1</v>
      </c>
      <c r="C82" s="57" t="s">
        <v>356</v>
      </c>
      <c r="D82" s="50" t="s">
        <v>148</v>
      </c>
      <c r="E82" s="50" t="s">
        <v>18</v>
      </c>
      <c r="F82" s="29" t="b">
        <f t="shared" si="1"/>
        <v>1</v>
      </c>
    </row>
    <row r="83" spans="1:6" x14ac:dyDescent="0.2">
      <c r="A83" s="55" t="s">
        <v>150</v>
      </c>
      <c r="B83" s="57">
        <v>1</v>
      </c>
      <c r="C83" s="57" t="s">
        <v>355</v>
      </c>
      <c r="D83" s="50" t="s">
        <v>150</v>
      </c>
      <c r="E83" s="50" t="s">
        <v>18</v>
      </c>
      <c r="F83" s="29" t="b">
        <f t="shared" si="1"/>
        <v>1</v>
      </c>
    </row>
    <row r="84" spans="1:6" x14ac:dyDescent="0.2">
      <c r="A84" s="55" t="s">
        <v>151</v>
      </c>
      <c r="B84" s="57">
        <v>1</v>
      </c>
      <c r="C84" s="57" t="s">
        <v>355</v>
      </c>
      <c r="D84" s="50" t="s">
        <v>151</v>
      </c>
      <c r="E84" s="50" t="s">
        <v>144</v>
      </c>
      <c r="F84" s="29" t="b">
        <f t="shared" si="1"/>
        <v>1</v>
      </c>
    </row>
    <row r="85" spans="1:6" x14ac:dyDescent="0.2">
      <c r="A85" s="55" t="s">
        <v>153</v>
      </c>
      <c r="B85" s="57">
        <v>1</v>
      </c>
      <c r="C85" s="57" t="s">
        <v>355</v>
      </c>
      <c r="D85" s="50" t="s">
        <v>153</v>
      </c>
      <c r="E85" s="50" t="s">
        <v>116</v>
      </c>
      <c r="F85" s="29" t="b">
        <f t="shared" si="1"/>
        <v>1</v>
      </c>
    </row>
    <row r="86" spans="1:6" x14ac:dyDescent="0.2">
      <c r="A86" s="55" t="s">
        <v>154</v>
      </c>
      <c r="B86" s="57">
        <v>1</v>
      </c>
      <c r="C86" s="57" t="s">
        <v>355</v>
      </c>
      <c r="D86" s="50" t="s">
        <v>154</v>
      </c>
      <c r="E86" s="50" t="s">
        <v>144</v>
      </c>
      <c r="F86" s="29" t="b">
        <f t="shared" si="1"/>
        <v>1</v>
      </c>
    </row>
    <row r="87" spans="1:6" x14ac:dyDescent="0.2">
      <c r="A87" s="55" t="s">
        <v>157</v>
      </c>
      <c r="B87" s="57">
        <v>1</v>
      </c>
      <c r="C87" s="57" t="s">
        <v>355</v>
      </c>
      <c r="D87" s="50" t="s">
        <v>157</v>
      </c>
      <c r="E87" s="50" t="s">
        <v>144</v>
      </c>
      <c r="F87" s="29" t="b">
        <f t="shared" si="1"/>
        <v>1</v>
      </c>
    </row>
    <row r="88" spans="1:6" x14ac:dyDescent="0.2">
      <c r="A88" s="55" t="s">
        <v>158</v>
      </c>
      <c r="B88" s="57">
        <v>1</v>
      </c>
      <c r="C88" s="57" t="s">
        <v>355</v>
      </c>
      <c r="D88" s="50" t="s">
        <v>158</v>
      </c>
      <c r="E88" s="50" t="s">
        <v>144</v>
      </c>
      <c r="F88" s="29" t="b">
        <f t="shared" si="1"/>
        <v>1</v>
      </c>
    </row>
    <row r="89" spans="1:6" x14ac:dyDescent="0.2">
      <c r="A89" s="55" t="s">
        <v>159</v>
      </c>
      <c r="B89" s="57">
        <v>1</v>
      </c>
      <c r="C89" s="57" t="s">
        <v>355</v>
      </c>
      <c r="D89" s="50" t="s">
        <v>159</v>
      </c>
      <c r="E89" s="50" t="s">
        <v>18</v>
      </c>
      <c r="F89" s="29" t="b">
        <f t="shared" si="1"/>
        <v>1</v>
      </c>
    </row>
    <row r="90" spans="1:6" x14ac:dyDescent="0.2">
      <c r="A90" s="55" t="s">
        <v>160</v>
      </c>
      <c r="B90" s="57">
        <v>1</v>
      </c>
      <c r="C90" s="57" t="s">
        <v>355</v>
      </c>
      <c r="D90" s="50" t="s">
        <v>160</v>
      </c>
      <c r="E90" s="22" t="s">
        <v>161</v>
      </c>
      <c r="F90" s="29" t="b">
        <f t="shared" si="1"/>
        <v>1</v>
      </c>
    </row>
    <row r="91" spans="1:6" x14ac:dyDescent="0.2">
      <c r="A91" s="55" t="s">
        <v>162</v>
      </c>
      <c r="B91" s="57">
        <v>1</v>
      </c>
      <c r="C91" s="57" t="s">
        <v>355</v>
      </c>
      <c r="D91" s="50" t="s">
        <v>162</v>
      </c>
      <c r="E91" s="22" t="s">
        <v>163</v>
      </c>
      <c r="F91" s="29" t="b">
        <f t="shared" si="1"/>
        <v>1</v>
      </c>
    </row>
    <row r="92" spans="1:6" x14ac:dyDescent="0.2">
      <c r="A92" s="55" t="s">
        <v>164</v>
      </c>
      <c r="B92" s="57">
        <v>1</v>
      </c>
      <c r="C92" s="57" t="s">
        <v>355</v>
      </c>
      <c r="D92" s="50" t="s">
        <v>164</v>
      </c>
      <c r="E92" s="50" t="s">
        <v>18</v>
      </c>
      <c r="F92" s="29" t="b">
        <f t="shared" si="1"/>
        <v>1</v>
      </c>
    </row>
    <row r="93" spans="1:6" x14ac:dyDescent="0.2">
      <c r="A93" s="55" t="s">
        <v>165</v>
      </c>
      <c r="B93" s="57">
        <v>1</v>
      </c>
      <c r="C93" s="57" t="s">
        <v>356</v>
      </c>
      <c r="D93" s="50" t="s">
        <v>165</v>
      </c>
      <c r="E93" s="50" t="s">
        <v>39</v>
      </c>
      <c r="F93" s="29" t="b">
        <f t="shared" si="1"/>
        <v>1</v>
      </c>
    </row>
    <row r="94" spans="1:6" x14ac:dyDescent="0.2">
      <c r="A94" s="55" t="s">
        <v>166</v>
      </c>
      <c r="B94" s="57">
        <v>1</v>
      </c>
      <c r="C94" s="57" t="s">
        <v>355</v>
      </c>
      <c r="D94" s="50" t="s">
        <v>166</v>
      </c>
      <c r="E94" s="50" t="s">
        <v>18</v>
      </c>
      <c r="F94" s="29" t="b">
        <f t="shared" si="1"/>
        <v>1</v>
      </c>
    </row>
    <row r="95" spans="1:6" x14ac:dyDescent="0.2">
      <c r="A95" s="55" t="s">
        <v>167</v>
      </c>
      <c r="B95" s="57">
        <v>1</v>
      </c>
      <c r="C95" s="57" t="s">
        <v>356</v>
      </c>
      <c r="D95" s="50" t="s">
        <v>167</v>
      </c>
      <c r="E95" s="50" t="s">
        <v>18</v>
      </c>
      <c r="F95" s="29" t="b">
        <f t="shared" si="1"/>
        <v>1</v>
      </c>
    </row>
    <row r="96" spans="1:6" x14ac:dyDescent="0.2">
      <c r="A96" s="55" t="s">
        <v>168</v>
      </c>
      <c r="B96" s="57">
        <v>1</v>
      </c>
      <c r="C96" s="57" t="s">
        <v>355</v>
      </c>
      <c r="D96" s="50" t="s">
        <v>168</v>
      </c>
      <c r="E96" s="50" t="s">
        <v>116</v>
      </c>
      <c r="F96" s="29" t="b">
        <f t="shared" si="1"/>
        <v>1</v>
      </c>
    </row>
    <row r="97" spans="1:6" x14ac:dyDescent="0.2">
      <c r="A97" s="55" t="s">
        <v>169</v>
      </c>
      <c r="B97" s="57">
        <v>1</v>
      </c>
      <c r="C97" s="57" t="s">
        <v>355</v>
      </c>
      <c r="D97" s="50" t="s">
        <v>169</v>
      </c>
      <c r="E97" s="50" t="s">
        <v>18</v>
      </c>
      <c r="F97" s="29" t="b">
        <f t="shared" si="1"/>
        <v>1</v>
      </c>
    </row>
    <row r="98" spans="1:6" x14ac:dyDescent="0.2">
      <c r="A98" s="55" t="s">
        <v>170</v>
      </c>
      <c r="B98" s="57">
        <v>1</v>
      </c>
      <c r="C98" s="57" t="s">
        <v>356</v>
      </c>
      <c r="D98" s="50" t="s">
        <v>170</v>
      </c>
      <c r="E98" s="50" t="s">
        <v>18</v>
      </c>
      <c r="F98" s="29" t="b">
        <f t="shared" si="1"/>
        <v>1</v>
      </c>
    </row>
    <row r="99" spans="1:6" x14ac:dyDescent="0.2">
      <c r="A99" s="55" t="s">
        <v>171</v>
      </c>
      <c r="B99" s="57">
        <v>1</v>
      </c>
      <c r="C99" s="57" t="s">
        <v>355</v>
      </c>
      <c r="D99" s="50" t="s">
        <v>171</v>
      </c>
      <c r="E99" s="50" t="s">
        <v>39</v>
      </c>
      <c r="F99" s="29" t="b">
        <f t="shared" si="1"/>
        <v>1</v>
      </c>
    </row>
    <row r="100" spans="1:6" x14ac:dyDescent="0.2">
      <c r="A100" s="55" t="s">
        <v>172</v>
      </c>
      <c r="B100" s="57">
        <v>1</v>
      </c>
      <c r="C100" s="57" t="s">
        <v>355</v>
      </c>
      <c r="D100" s="50" t="s">
        <v>172</v>
      </c>
      <c r="E100" s="50" t="s">
        <v>18</v>
      </c>
      <c r="F100" s="29" t="b">
        <f t="shared" si="1"/>
        <v>1</v>
      </c>
    </row>
    <row r="101" spans="1:6" x14ac:dyDescent="0.2">
      <c r="A101" s="55" t="s">
        <v>173</v>
      </c>
      <c r="B101" s="57">
        <v>1</v>
      </c>
      <c r="C101" s="57" t="s">
        <v>355</v>
      </c>
      <c r="D101" s="50" t="s">
        <v>173</v>
      </c>
      <c r="E101" s="22" t="s">
        <v>163</v>
      </c>
      <c r="F101" s="29" t="b">
        <f t="shared" si="1"/>
        <v>1</v>
      </c>
    </row>
    <row r="102" spans="1:6" x14ac:dyDescent="0.2">
      <c r="A102" s="55" t="s">
        <v>174</v>
      </c>
      <c r="B102" s="57">
        <v>1</v>
      </c>
      <c r="C102" s="57" t="s">
        <v>355</v>
      </c>
      <c r="D102" s="50" t="s">
        <v>174</v>
      </c>
      <c r="E102" s="22" t="s">
        <v>163</v>
      </c>
      <c r="F102" s="29" t="b">
        <f t="shared" si="1"/>
        <v>1</v>
      </c>
    </row>
    <row r="103" spans="1:6" x14ac:dyDescent="0.2">
      <c r="A103" s="55" t="s">
        <v>175</v>
      </c>
      <c r="B103" s="57">
        <v>1</v>
      </c>
      <c r="C103" s="57" t="s">
        <v>355</v>
      </c>
      <c r="D103" s="50" t="s">
        <v>175</v>
      </c>
      <c r="E103" s="22" t="s">
        <v>163</v>
      </c>
      <c r="F103" s="29" t="b">
        <f t="shared" si="1"/>
        <v>1</v>
      </c>
    </row>
    <row r="104" spans="1:6" x14ac:dyDescent="0.2">
      <c r="A104" s="55" t="s">
        <v>176</v>
      </c>
      <c r="B104" s="57">
        <v>1</v>
      </c>
      <c r="C104" s="57" t="s">
        <v>355</v>
      </c>
      <c r="D104" s="50" t="s">
        <v>176</v>
      </c>
      <c r="E104" s="50" t="s">
        <v>116</v>
      </c>
      <c r="F104" s="29" t="b">
        <f t="shared" si="1"/>
        <v>1</v>
      </c>
    </row>
    <row r="105" spans="1:6" x14ac:dyDescent="0.2">
      <c r="A105" s="55" t="s">
        <v>178</v>
      </c>
      <c r="B105" s="57">
        <v>1</v>
      </c>
      <c r="C105" s="57" t="s">
        <v>355</v>
      </c>
      <c r="D105" s="50" t="s">
        <v>178</v>
      </c>
      <c r="E105" s="50" t="s">
        <v>116</v>
      </c>
      <c r="F105" s="29" t="b">
        <f t="shared" si="1"/>
        <v>1</v>
      </c>
    </row>
    <row r="106" spans="1:6" x14ac:dyDescent="0.2">
      <c r="A106" s="55" t="s">
        <v>179</v>
      </c>
      <c r="B106" s="57">
        <v>1</v>
      </c>
      <c r="C106" s="57" t="s">
        <v>355</v>
      </c>
      <c r="D106" s="50" t="s">
        <v>179</v>
      </c>
      <c r="E106" s="50" t="s">
        <v>116</v>
      </c>
      <c r="F106" s="29" t="b">
        <f t="shared" si="1"/>
        <v>1</v>
      </c>
    </row>
    <row r="107" spans="1:6" x14ac:dyDescent="0.2">
      <c r="A107" s="55" t="s">
        <v>180</v>
      </c>
      <c r="B107" s="57">
        <v>1</v>
      </c>
      <c r="C107" s="57" t="s">
        <v>356</v>
      </c>
      <c r="D107" s="50" t="s">
        <v>180</v>
      </c>
      <c r="E107" s="50" t="s">
        <v>116</v>
      </c>
      <c r="F107" s="29" t="b">
        <f t="shared" si="1"/>
        <v>1</v>
      </c>
    </row>
    <row r="108" spans="1:6" x14ac:dyDescent="0.2">
      <c r="A108" s="55" t="s">
        <v>183</v>
      </c>
      <c r="B108" s="57">
        <v>1</v>
      </c>
      <c r="C108" s="57" t="s">
        <v>355</v>
      </c>
      <c r="D108" s="50" t="s">
        <v>183</v>
      </c>
      <c r="E108" s="50" t="s">
        <v>116</v>
      </c>
      <c r="F108" s="29" t="b">
        <f t="shared" si="1"/>
        <v>1</v>
      </c>
    </row>
    <row r="109" spans="1:6" x14ac:dyDescent="0.2">
      <c r="A109" s="55" t="s">
        <v>184</v>
      </c>
      <c r="B109" s="57">
        <v>1</v>
      </c>
      <c r="C109" s="57" t="s">
        <v>355</v>
      </c>
      <c r="D109" s="50" t="s">
        <v>184</v>
      </c>
      <c r="E109" s="50" t="s">
        <v>18</v>
      </c>
      <c r="F109" s="29" t="b">
        <f t="shared" si="1"/>
        <v>1</v>
      </c>
    </row>
    <row r="110" spans="1:6" x14ac:dyDescent="0.2">
      <c r="A110" s="55" t="s">
        <v>186</v>
      </c>
      <c r="B110" s="57">
        <v>1</v>
      </c>
      <c r="C110" s="57" t="s">
        <v>355</v>
      </c>
      <c r="D110" s="50" t="s">
        <v>186</v>
      </c>
      <c r="E110" s="50" t="s">
        <v>18</v>
      </c>
      <c r="F110" s="29" t="b">
        <f t="shared" si="1"/>
        <v>1</v>
      </c>
    </row>
    <row r="111" spans="1:6" x14ac:dyDescent="0.2">
      <c r="A111" s="55" t="s">
        <v>187</v>
      </c>
      <c r="B111" s="57">
        <v>1</v>
      </c>
      <c r="C111" s="57" t="s">
        <v>355</v>
      </c>
      <c r="D111" s="50" t="s">
        <v>187</v>
      </c>
      <c r="E111" s="50" t="s">
        <v>18</v>
      </c>
      <c r="F111" s="29" t="b">
        <f t="shared" si="1"/>
        <v>1</v>
      </c>
    </row>
    <row r="112" spans="1:6" x14ac:dyDescent="0.2">
      <c r="A112" s="55" t="s">
        <v>188</v>
      </c>
      <c r="B112" s="57">
        <v>1</v>
      </c>
      <c r="C112" s="57" t="s">
        <v>355</v>
      </c>
      <c r="D112" s="50" t="s">
        <v>188</v>
      </c>
      <c r="E112" s="50" t="s">
        <v>116</v>
      </c>
      <c r="F112" s="29" t="b">
        <f t="shared" si="1"/>
        <v>1</v>
      </c>
    </row>
    <row r="113" spans="1:6" x14ac:dyDescent="0.2">
      <c r="A113" s="55" t="s">
        <v>189</v>
      </c>
      <c r="B113" s="57">
        <v>1</v>
      </c>
      <c r="C113" s="57" t="s">
        <v>355</v>
      </c>
      <c r="D113" s="50" t="s">
        <v>189</v>
      </c>
      <c r="E113" s="50" t="s">
        <v>116</v>
      </c>
      <c r="F113" s="29" t="b">
        <f t="shared" si="1"/>
        <v>1</v>
      </c>
    </row>
    <row r="114" spans="1:6" x14ac:dyDescent="0.2">
      <c r="A114" s="55" t="s">
        <v>190</v>
      </c>
      <c r="B114" s="57">
        <v>1</v>
      </c>
      <c r="C114" s="57" t="s">
        <v>355</v>
      </c>
      <c r="D114" s="50" t="s">
        <v>190</v>
      </c>
      <c r="E114" s="50" t="s">
        <v>116</v>
      </c>
      <c r="F114" s="29" t="b">
        <f t="shared" si="1"/>
        <v>1</v>
      </c>
    </row>
    <row r="115" spans="1:6" x14ac:dyDescent="0.2">
      <c r="A115" s="55" t="s">
        <v>191</v>
      </c>
      <c r="B115" s="57">
        <v>1</v>
      </c>
      <c r="C115" s="57" t="s">
        <v>355</v>
      </c>
      <c r="D115" s="50" t="s">
        <v>191</v>
      </c>
      <c r="E115" s="50" t="s">
        <v>116</v>
      </c>
      <c r="F115" s="29" t="b">
        <f t="shared" si="1"/>
        <v>1</v>
      </c>
    </row>
    <row r="116" spans="1:6" x14ac:dyDescent="0.2">
      <c r="A116" s="55" t="s">
        <v>192</v>
      </c>
      <c r="B116" s="57">
        <v>1</v>
      </c>
      <c r="C116" s="57" t="s">
        <v>356</v>
      </c>
      <c r="D116" s="50" t="s">
        <v>192</v>
      </c>
      <c r="E116" s="50" t="s">
        <v>116</v>
      </c>
      <c r="F116" s="29" t="b">
        <f t="shared" si="1"/>
        <v>1</v>
      </c>
    </row>
    <row r="117" spans="1:6" x14ac:dyDescent="0.2">
      <c r="A117" s="55" t="s">
        <v>193</v>
      </c>
      <c r="B117" s="57">
        <v>1</v>
      </c>
      <c r="C117" s="57" t="s">
        <v>355</v>
      </c>
      <c r="D117" s="50" t="s">
        <v>193</v>
      </c>
      <c r="E117" s="50" t="s">
        <v>116</v>
      </c>
      <c r="F117" s="29" t="b">
        <f t="shared" si="1"/>
        <v>1</v>
      </c>
    </row>
    <row r="118" spans="1:6" x14ac:dyDescent="0.2">
      <c r="A118" s="55" t="s">
        <v>194</v>
      </c>
      <c r="B118" s="57">
        <v>1</v>
      </c>
      <c r="C118" s="57" t="s">
        <v>355</v>
      </c>
      <c r="D118" s="50" t="s">
        <v>194</v>
      </c>
      <c r="E118" s="50" t="s">
        <v>144</v>
      </c>
      <c r="F118" s="29" t="b">
        <f t="shared" si="1"/>
        <v>1</v>
      </c>
    </row>
    <row r="119" spans="1:6" x14ac:dyDescent="0.2">
      <c r="A119" s="55" t="s">
        <v>195</v>
      </c>
      <c r="B119" s="57">
        <v>1</v>
      </c>
      <c r="C119" s="57" t="s">
        <v>355</v>
      </c>
      <c r="D119" s="50" t="s">
        <v>195</v>
      </c>
      <c r="E119" s="50" t="s">
        <v>144</v>
      </c>
      <c r="F119" s="29" t="b">
        <f t="shared" si="1"/>
        <v>1</v>
      </c>
    </row>
    <row r="120" spans="1:6" x14ac:dyDescent="0.2">
      <c r="A120" s="55" t="s">
        <v>196</v>
      </c>
      <c r="B120" s="57">
        <v>1</v>
      </c>
      <c r="C120" s="57" t="s">
        <v>356</v>
      </c>
      <c r="D120" s="50" t="s">
        <v>196</v>
      </c>
      <c r="E120" s="50" t="s">
        <v>144</v>
      </c>
      <c r="F120" s="29" t="b">
        <f t="shared" si="1"/>
        <v>1</v>
      </c>
    </row>
    <row r="121" spans="1:6" x14ac:dyDescent="0.2">
      <c r="A121" s="55" t="s">
        <v>198</v>
      </c>
      <c r="B121" s="57">
        <v>1</v>
      </c>
      <c r="C121" s="57" t="s">
        <v>355</v>
      </c>
      <c r="D121" s="50" t="s">
        <v>198</v>
      </c>
      <c r="E121" s="50" t="s">
        <v>144</v>
      </c>
      <c r="F121" s="29" t="b">
        <f t="shared" si="1"/>
        <v>1</v>
      </c>
    </row>
    <row r="122" spans="1:6" x14ac:dyDescent="0.2">
      <c r="A122" s="55" t="s">
        <v>200</v>
      </c>
      <c r="B122" s="57">
        <v>1</v>
      </c>
      <c r="C122" s="57" t="s">
        <v>355</v>
      </c>
      <c r="D122" s="50" t="s">
        <v>200</v>
      </c>
      <c r="E122" s="50" t="s">
        <v>144</v>
      </c>
      <c r="F122" s="29" t="b">
        <f t="shared" si="1"/>
        <v>1</v>
      </c>
    </row>
    <row r="123" spans="1:6" x14ac:dyDescent="0.2">
      <c r="A123" s="55" t="s">
        <v>201</v>
      </c>
      <c r="B123" s="57">
        <v>1</v>
      </c>
      <c r="C123" s="57" t="s">
        <v>355</v>
      </c>
      <c r="D123" s="50" t="s">
        <v>201</v>
      </c>
      <c r="E123" s="50" t="s">
        <v>144</v>
      </c>
      <c r="F123" s="29" t="b">
        <f t="shared" si="1"/>
        <v>1</v>
      </c>
    </row>
    <row r="124" spans="1:6" x14ac:dyDescent="0.2">
      <c r="A124" s="55" t="s">
        <v>203</v>
      </c>
      <c r="B124" s="57">
        <v>1</v>
      </c>
      <c r="C124" s="57" t="s">
        <v>356</v>
      </c>
      <c r="D124" s="50" t="s">
        <v>203</v>
      </c>
      <c r="E124" s="50" t="s">
        <v>144</v>
      </c>
      <c r="F124" s="29" t="b">
        <f t="shared" si="1"/>
        <v>1</v>
      </c>
    </row>
    <row r="125" spans="1:6" x14ac:dyDescent="0.2">
      <c r="A125" s="55" t="s">
        <v>205</v>
      </c>
      <c r="B125" s="57">
        <v>1</v>
      </c>
      <c r="C125" s="57" t="s">
        <v>355</v>
      </c>
      <c r="D125" s="50" t="s">
        <v>205</v>
      </c>
      <c r="E125" s="50" t="s">
        <v>144</v>
      </c>
      <c r="F125" s="29" t="b">
        <f t="shared" si="1"/>
        <v>1</v>
      </c>
    </row>
    <row r="126" spans="1:6" x14ac:dyDescent="0.2">
      <c r="A126" s="55" t="s">
        <v>206</v>
      </c>
      <c r="B126" s="57">
        <v>1</v>
      </c>
      <c r="C126" s="57" t="s">
        <v>355</v>
      </c>
      <c r="D126" s="50" t="s">
        <v>206</v>
      </c>
      <c r="E126" s="50" t="s">
        <v>144</v>
      </c>
      <c r="F126" s="29" t="b">
        <f t="shared" si="1"/>
        <v>1</v>
      </c>
    </row>
    <row r="127" spans="1:6" x14ac:dyDescent="0.2">
      <c r="A127" s="55" t="s">
        <v>207</v>
      </c>
      <c r="B127" s="57">
        <v>1</v>
      </c>
      <c r="C127" s="57" t="s">
        <v>356</v>
      </c>
      <c r="D127" s="50" t="s">
        <v>207</v>
      </c>
      <c r="E127" s="50" t="s">
        <v>144</v>
      </c>
      <c r="F127" s="29" t="b">
        <f t="shared" si="1"/>
        <v>1</v>
      </c>
    </row>
    <row r="128" spans="1:6" x14ac:dyDescent="0.2">
      <c r="A128" s="55" t="s">
        <v>209</v>
      </c>
      <c r="B128" s="57">
        <v>1</v>
      </c>
      <c r="C128" s="57" t="s">
        <v>355</v>
      </c>
      <c r="D128" s="50" t="s">
        <v>209</v>
      </c>
      <c r="E128" s="50" t="s">
        <v>144</v>
      </c>
      <c r="F128" s="29" t="b">
        <f t="shared" si="1"/>
        <v>1</v>
      </c>
    </row>
    <row r="129" spans="1:6" x14ac:dyDescent="0.2">
      <c r="A129" s="55" t="s">
        <v>210</v>
      </c>
      <c r="B129" s="57">
        <v>1</v>
      </c>
      <c r="C129" s="57" t="s">
        <v>355</v>
      </c>
      <c r="D129" s="50" t="s">
        <v>210</v>
      </c>
      <c r="E129" s="50" t="s">
        <v>144</v>
      </c>
      <c r="F129" s="29" t="b">
        <f t="shared" si="1"/>
        <v>1</v>
      </c>
    </row>
    <row r="130" spans="1:6" x14ac:dyDescent="0.2">
      <c r="A130" s="55" t="s">
        <v>211</v>
      </c>
      <c r="B130" s="57">
        <v>1</v>
      </c>
      <c r="C130" s="57" t="s">
        <v>355</v>
      </c>
      <c r="D130" s="50" t="s">
        <v>211</v>
      </c>
      <c r="E130" s="50" t="s">
        <v>144</v>
      </c>
      <c r="F130" s="29" t="b">
        <f t="shared" si="1"/>
        <v>1</v>
      </c>
    </row>
    <row r="131" spans="1:6" x14ac:dyDescent="0.2">
      <c r="A131" s="55" t="s">
        <v>212</v>
      </c>
      <c r="B131" s="57">
        <v>1</v>
      </c>
      <c r="C131" s="57" t="s">
        <v>355</v>
      </c>
      <c r="D131" s="50" t="s">
        <v>212</v>
      </c>
      <c r="E131" s="50" t="s">
        <v>144</v>
      </c>
      <c r="F131" s="29" t="b">
        <f t="shared" ref="F131:F194" si="2">EXACT(A131,D131)</f>
        <v>1</v>
      </c>
    </row>
    <row r="132" spans="1:6" x14ac:dyDescent="0.2">
      <c r="A132" s="55" t="s">
        <v>213</v>
      </c>
      <c r="B132" s="57">
        <v>1</v>
      </c>
      <c r="C132" s="57" t="s">
        <v>356</v>
      </c>
      <c r="D132" s="50" t="s">
        <v>213</v>
      </c>
      <c r="E132" s="50" t="s">
        <v>144</v>
      </c>
      <c r="F132" s="29" t="b">
        <f t="shared" si="2"/>
        <v>1</v>
      </c>
    </row>
    <row r="133" spans="1:6" x14ac:dyDescent="0.2">
      <c r="A133" s="55" t="s">
        <v>215</v>
      </c>
      <c r="B133" s="57">
        <v>1</v>
      </c>
      <c r="C133" s="57" t="s">
        <v>355</v>
      </c>
      <c r="D133" s="50" t="s">
        <v>215</v>
      </c>
      <c r="E133" s="50" t="s">
        <v>144</v>
      </c>
      <c r="F133" s="29" t="b">
        <f t="shared" si="2"/>
        <v>1</v>
      </c>
    </row>
    <row r="134" spans="1:6" x14ac:dyDescent="0.2">
      <c r="A134" s="55" t="s">
        <v>216</v>
      </c>
      <c r="B134" s="57">
        <v>1</v>
      </c>
      <c r="C134" s="57" t="s">
        <v>356</v>
      </c>
      <c r="D134" s="50" t="s">
        <v>216</v>
      </c>
      <c r="E134" s="50" t="s">
        <v>144</v>
      </c>
      <c r="F134" s="29" t="b">
        <f t="shared" si="2"/>
        <v>1</v>
      </c>
    </row>
    <row r="135" spans="1:6" x14ac:dyDescent="0.2">
      <c r="A135" s="55" t="s">
        <v>217</v>
      </c>
      <c r="B135" s="57">
        <v>1</v>
      </c>
      <c r="C135" s="57" t="s">
        <v>355</v>
      </c>
      <c r="D135" s="50" t="s">
        <v>217</v>
      </c>
      <c r="E135" s="50" t="s">
        <v>144</v>
      </c>
      <c r="F135" s="29" t="b">
        <f t="shared" si="2"/>
        <v>1</v>
      </c>
    </row>
    <row r="136" spans="1:6" x14ac:dyDescent="0.2">
      <c r="A136" s="55" t="s">
        <v>218</v>
      </c>
      <c r="B136" s="57">
        <v>1</v>
      </c>
      <c r="C136" s="57" t="s">
        <v>355</v>
      </c>
      <c r="D136" s="50" t="s">
        <v>218</v>
      </c>
      <c r="E136" s="50" t="s">
        <v>144</v>
      </c>
      <c r="F136" s="29" t="b">
        <f t="shared" si="2"/>
        <v>1</v>
      </c>
    </row>
    <row r="137" spans="1:6" x14ac:dyDescent="0.2">
      <c r="A137" s="55" t="s">
        <v>220</v>
      </c>
      <c r="B137" s="57">
        <v>1</v>
      </c>
      <c r="C137" s="57" t="s">
        <v>355</v>
      </c>
      <c r="D137" s="50" t="s">
        <v>220</v>
      </c>
      <c r="E137" s="50" t="s">
        <v>18</v>
      </c>
      <c r="F137" s="29" t="b">
        <f t="shared" si="2"/>
        <v>1</v>
      </c>
    </row>
    <row r="138" spans="1:6" x14ac:dyDescent="0.2">
      <c r="A138" s="55" t="s">
        <v>221</v>
      </c>
      <c r="B138" s="57">
        <v>1</v>
      </c>
      <c r="C138" s="57" t="s">
        <v>356</v>
      </c>
      <c r="D138" s="50" t="s">
        <v>221</v>
      </c>
      <c r="E138" s="50" t="s">
        <v>18</v>
      </c>
      <c r="F138" s="29" t="b">
        <f t="shared" si="2"/>
        <v>1</v>
      </c>
    </row>
    <row r="139" spans="1:6" x14ac:dyDescent="0.2">
      <c r="A139" s="55" t="s">
        <v>222</v>
      </c>
      <c r="B139" s="57">
        <v>1</v>
      </c>
      <c r="C139" s="57" t="s">
        <v>355</v>
      </c>
      <c r="D139" s="50" t="s">
        <v>222</v>
      </c>
      <c r="E139" s="50" t="s">
        <v>18</v>
      </c>
      <c r="F139" s="29" t="b">
        <f t="shared" si="2"/>
        <v>1</v>
      </c>
    </row>
    <row r="140" spans="1:6" x14ac:dyDescent="0.2">
      <c r="A140" s="55" t="s">
        <v>223</v>
      </c>
      <c r="B140" s="57">
        <v>1</v>
      </c>
      <c r="C140" s="57" t="s">
        <v>356</v>
      </c>
      <c r="D140" s="50" t="s">
        <v>223</v>
      </c>
      <c r="E140" s="50" t="s">
        <v>18</v>
      </c>
      <c r="F140" s="29" t="b">
        <f t="shared" si="2"/>
        <v>1</v>
      </c>
    </row>
    <row r="141" spans="1:6" x14ac:dyDescent="0.2">
      <c r="A141" s="55" t="s">
        <v>225</v>
      </c>
      <c r="B141" s="57">
        <v>1</v>
      </c>
      <c r="C141" s="57" t="s">
        <v>355</v>
      </c>
      <c r="D141" s="50" t="s">
        <v>225</v>
      </c>
      <c r="E141" s="50" t="s">
        <v>18</v>
      </c>
      <c r="F141" s="29" t="b">
        <f t="shared" si="2"/>
        <v>1</v>
      </c>
    </row>
    <row r="142" spans="1:6" x14ac:dyDescent="0.2">
      <c r="A142" s="55" t="s">
        <v>226</v>
      </c>
      <c r="B142" s="57">
        <v>1</v>
      </c>
      <c r="C142" s="57" t="s">
        <v>356</v>
      </c>
      <c r="D142" s="50" t="s">
        <v>226</v>
      </c>
      <c r="E142" s="50" t="s">
        <v>18</v>
      </c>
      <c r="F142" s="29" t="b">
        <f t="shared" si="2"/>
        <v>1</v>
      </c>
    </row>
    <row r="143" spans="1:6" x14ac:dyDescent="0.2">
      <c r="A143" s="55" t="s">
        <v>227</v>
      </c>
      <c r="B143" s="57">
        <v>1</v>
      </c>
      <c r="C143" s="57" t="s">
        <v>355</v>
      </c>
      <c r="D143" s="50" t="s">
        <v>227</v>
      </c>
      <c r="E143" s="50" t="s">
        <v>116</v>
      </c>
      <c r="F143" s="29" t="b">
        <f t="shared" si="2"/>
        <v>1</v>
      </c>
    </row>
    <row r="144" spans="1:6" x14ac:dyDescent="0.2">
      <c r="A144" s="55" t="s">
        <v>228</v>
      </c>
      <c r="B144" s="57">
        <v>1</v>
      </c>
      <c r="C144" s="57" t="s">
        <v>355</v>
      </c>
      <c r="D144" s="50" t="s">
        <v>228</v>
      </c>
      <c r="E144" s="50" t="s">
        <v>18</v>
      </c>
      <c r="F144" s="29" t="b">
        <f t="shared" si="2"/>
        <v>1</v>
      </c>
    </row>
    <row r="145" spans="1:6" x14ac:dyDescent="0.2">
      <c r="A145" s="55" t="s">
        <v>229</v>
      </c>
      <c r="B145" s="57">
        <v>1</v>
      </c>
      <c r="C145" s="57" t="s">
        <v>355</v>
      </c>
      <c r="D145" s="50" t="s">
        <v>229</v>
      </c>
      <c r="E145" s="50" t="s">
        <v>144</v>
      </c>
      <c r="F145" s="29" t="b">
        <f t="shared" si="2"/>
        <v>1</v>
      </c>
    </row>
    <row r="146" spans="1:6" x14ac:dyDescent="0.2">
      <c r="A146" s="55" t="s">
        <v>230</v>
      </c>
      <c r="B146" s="57">
        <v>1</v>
      </c>
      <c r="C146" s="57" t="s">
        <v>356</v>
      </c>
      <c r="D146" s="50" t="s">
        <v>230</v>
      </c>
      <c r="E146" s="50" t="s">
        <v>144</v>
      </c>
      <c r="F146" s="29" t="b">
        <f t="shared" si="2"/>
        <v>1</v>
      </c>
    </row>
    <row r="147" spans="1:6" x14ac:dyDescent="0.2">
      <c r="A147" s="55" t="s">
        <v>231</v>
      </c>
      <c r="B147" s="57">
        <v>1</v>
      </c>
      <c r="C147" s="57" t="s">
        <v>355</v>
      </c>
      <c r="D147" s="50" t="s">
        <v>231</v>
      </c>
      <c r="E147" s="50" t="s">
        <v>144</v>
      </c>
      <c r="F147" s="29" t="b">
        <f t="shared" si="2"/>
        <v>1</v>
      </c>
    </row>
    <row r="148" spans="1:6" x14ac:dyDescent="0.2">
      <c r="A148" s="55" t="s">
        <v>232</v>
      </c>
      <c r="B148" s="57">
        <v>1</v>
      </c>
      <c r="C148" s="57" t="s">
        <v>356</v>
      </c>
      <c r="D148" s="50" t="s">
        <v>232</v>
      </c>
      <c r="E148" s="50" t="s">
        <v>144</v>
      </c>
      <c r="F148" s="29" t="b">
        <f t="shared" si="2"/>
        <v>1</v>
      </c>
    </row>
    <row r="149" spans="1:6" x14ac:dyDescent="0.2">
      <c r="A149" s="55" t="s">
        <v>233</v>
      </c>
      <c r="B149" s="57">
        <v>1</v>
      </c>
      <c r="C149" s="57" t="s">
        <v>355</v>
      </c>
      <c r="D149" s="50" t="s">
        <v>233</v>
      </c>
      <c r="E149" s="50" t="s">
        <v>144</v>
      </c>
      <c r="F149" s="29" t="b">
        <f t="shared" si="2"/>
        <v>1</v>
      </c>
    </row>
    <row r="150" spans="1:6" x14ac:dyDescent="0.2">
      <c r="A150" s="55" t="s">
        <v>234</v>
      </c>
      <c r="B150" s="57">
        <v>1</v>
      </c>
      <c r="C150" s="57" t="s">
        <v>356</v>
      </c>
      <c r="D150" s="50" t="s">
        <v>234</v>
      </c>
      <c r="E150" s="50" t="s">
        <v>144</v>
      </c>
      <c r="F150" s="29" t="b">
        <f t="shared" si="2"/>
        <v>1</v>
      </c>
    </row>
    <row r="151" spans="1:6" x14ac:dyDescent="0.2">
      <c r="A151" s="55" t="s">
        <v>235</v>
      </c>
      <c r="B151" s="57">
        <v>1</v>
      </c>
      <c r="C151" s="57" t="s">
        <v>355</v>
      </c>
      <c r="D151" s="50" t="s">
        <v>235</v>
      </c>
      <c r="E151" s="50" t="s">
        <v>18</v>
      </c>
      <c r="F151" s="29" t="b">
        <f t="shared" si="2"/>
        <v>1</v>
      </c>
    </row>
    <row r="152" spans="1:6" x14ac:dyDescent="0.2">
      <c r="A152" s="55" t="s">
        <v>237</v>
      </c>
      <c r="B152" s="57">
        <v>1</v>
      </c>
      <c r="C152" s="57" t="s">
        <v>356</v>
      </c>
      <c r="D152" s="50" t="s">
        <v>237</v>
      </c>
      <c r="E152" s="50" t="s">
        <v>18</v>
      </c>
      <c r="F152" s="29" t="b">
        <f t="shared" si="2"/>
        <v>1</v>
      </c>
    </row>
    <row r="153" spans="1:6" x14ac:dyDescent="0.2">
      <c r="A153" s="55" t="s">
        <v>238</v>
      </c>
      <c r="B153" s="57">
        <v>1</v>
      </c>
      <c r="C153" s="57" t="s">
        <v>355</v>
      </c>
      <c r="D153" s="50" t="s">
        <v>238</v>
      </c>
      <c r="E153" s="50" t="s">
        <v>116</v>
      </c>
      <c r="F153" s="29" t="b">
        <f t="shared" si="2"/>
        <v>1</v>
      </c>
    </row>
    <row r="154" spans="1:6" x14ac:dyDescent="0.2">
      <c r="A154" s="55" t="s">
        <v>239</v>
      </c>
      <c r="B154" s="57">
        <v>1</v>
      </c>
      <c r="C154" s="57" t="s">
        <v>356</v>
      </c>
      <c r="D154" s="50" t="s">
        <v>239</v>
      </c>
      <c r="E154" s="50" t="s">
        <v>116</v>
      </c>
      <c r="F154" s="29" t="b">
        <f t="shared" si="2"/>
        <v>1</v>
      </c>
    </row>
    <row r="155" spans="1:6" x14ac:dyDescent="0.2">
      <c r="A155" s="55" t="s">
        <v>240</v>
      </c>
      <c r="B155" s="57">
        <v>1</v>
      </c>
      <c r="C155" s="57" t="s">
        <v>355</v>
      </c>
      <c r="D155" s="50" t="s">
        <v>240</v>
      </c>
      <c r="E155" s="50" t="s">
        <v>116</v>
      </c>
      <c r="F155" s="29" t="b">
        <f t="shared" si="2"/>
        <v>1</v>
      </c>
    </row>
    <row r="156" spans="1:6" x14ac:dyDescent="0.2">
      <c r="A156" s="55" t="s">
        <v>241</v>
      </c>
      <c r="B156" s="57">
        <v>1</v>
      </c>
      <c r="C156" s="57" t="s">
        <v>356</v>
      </c>
      <c r="D156" s="50" t="s">
        <v>241</v>
      </c>
      <c r="E156" s="50" t="s">
        <v>116</v>
      </c>
      <c r="F156" s="29" t="b">
        <f t="shared" si="2"/>
        <v>1</v>
      </c>
    </row>
    <row r="157" spans="1:6" x14ac:dyDescent="0.2">
      <c r="A157" s="55" t="s">
        <v>242</v>
      </c>
      <c r="B157" s="57">
        <v>1</v>
      </c>
      <c r="C157" s="57" t="s">
        <v>355</v>
      </c>
      <c r="D157" s="50" t="s">
        <v>242</v>
      </c>
      <c r="E157" s="22" t="s">
        <v>243</v>
      </c>
      <c r="F157" s="29" t="b">
        <f t="shared" si="2"/>
        <v>1</v>
      </c>
    </row>
    <row r="158" spans="1:6" x14ac:dyDescent="0.2">
      <c r="A158" s="55" t="s">
        <v>245</v>
      </c>
      <c r="B158" s="57">
        <v>1</v>
      </c>
      <c r="C158" s="57" t="s">
        <v>356</v>
      </c>
      <c r="D158" s="50" t="s">
        <v>245</v>
      </c>
      <c r="E158" s="50" t="s">
        <v>116</v>
      </c>
      <c r="F158" s="29" t="b">
        <f t="shared" si="2"/>
        <v>1</v>
      </c>
    </row>
    <row r="159" spans="1:6" x14ac:dyDescent="0.2">
      <c r="A159" s="55" t="s">
        <v>247</v>
      </c>
      <c r="B159" s="57">
        <v>1</v>
      </c>
      <c r="C159" s="57" t="s">
        <v>355</v>
      </c>
      <c r="D159" s="50" t="s">
        <v>247</v>
      </c>
      <c r="E159" s="50" t="s">
        <v>18</v>
      </c>
      <c r="F159" s="29" t="b">
        <f t="shared" si="2"/>
        <v>1</v>
      </c>
    </row>
    <row r="160" spans="1:6" x14ac:dyDescent="0.2">
      <c r="A160" s="55" t="s">
        <v>248</v>
      </c>
      <c r="B160" s="57">
        <v>1</v>
      </c>
      <c r="C160" s="57" t="s">
        <v>355</v>
      </c>
      <c r="D160" s="50" t="s">
        <v>248</v>
      </c>
      <c r="E160" s="50" t="s">
        <v>18</v>
      </c>
      <c r="F160" s="29" t="b">
        <f t="shared" si="2"/>
        <v>1</v>
      </c>
    </row>
    <row r="161" spans="1:6" x14ac:dyDescent="0.2">
      <c r="A161" s="55" t="s">
        <v>249</v>
      </c>
      <c r="B161" s="57">
        <v>1</v>
      </c>
      <c r="C161" s="57" t="s">
        <v>355</v>
      </c>
      <c r="D161" s="50" t="s">
        <v>249</v>
      </c>
      <c r="E161" s="50" t="s">
        <v>18</v>
      </c>
      <c r="F161" s="29" t="b">
        <f t="shared" si="2"/>
        <v>1</v>
      </c>
    </row>
    <row r="162" spans="1:6" x14ac:dyDescent="0.2">
      <c r="A162" s="55" t="s">
        <v>250</v>
      </c>
      <c r="B162" s="57">
        <v>1</v>
      </c>
      <c r="C162" s="57" t="s">
        <v>356</v>
      </c>
      <c r="D162" s="50" t="s">
        <v>250</v>
      </c>
      <c r="E162" s="50" t="s">
        <v>18</v>
      </c>
      <c r="F162" s="29" t="b">
        <f t="shared" si="2"/>
        <v>1</v>
      </c>
    </row>
    <row r="163" spans="1:6" x14ac:dyDescent="0.2">
      <c r="A163" s="55" t="s">
        <v>251</v>
      </c>
      <c r="B163" s="57">
        <v>1</v>
      </c>
      <c r="C163" s="57" t="s">
        <v>355</v>
      </c>
      <c r="D163" s="50" t="s">
        <v>251</v>
      </c>
      <c r="E163" s="50" t="s">
        <v>116</v>
      </c>
      <c r="F163" s="29" t="b">
        <f t="shared" si="2"/>
        <v>1</v>
      </c>
    </row>
    <row r="164" spans="1:6" x14ac:dyDescent="0.2">
      <c r="A164" s="55" t="s">
        <v>252</v>
      </c>
      <c r="B164" s="57">
        <v>1</v>
      </c>
      <c r="C164" s="57" t="s">
        <v>356</v>
      </c>
      <c r="D164" s="50" t="s">
        <v>252</v>
      </c>
      <c r="E164" s="50" t="s">
        <v>116</v>
      </c>
      <c r="F164" s="29" t="b">
        <f t="shared" si="2"/>
        <v>1</v>
      </c>
    </row>
    <row r="165" spans="1:6" x14ac:dyDescent="0.2">
      <c r="A165" s="55" t="s">
        <v>253</v>
      </c>
      <c r="B165" s="57">
        <v>1</v>
      </c>
      <c r="C165" s="57" t="s">
        <v>355</v>
      </c>
      <c r="D165" s="50" t="s">
        <v>253</v>
      </c>
      <c r="E165" s="50" t="s">
        <v>18</v>
      </c>
      <c r="F165" s="29" t="b">
        <f t="shared" si="2"/>
        <v>1</v>
      </c>
    </row>
    <row r="166" spans="1:6" x14ac:dyDescent="0.2">
      <c r="A166" s="55" t="s">
        <v>254</v>
      </c>
      <c r="B166" s="57">
        <v>1</v>
      </c>
      <c r="C166" s="57" t="s">
        <v>355</v>
      </c>
      <c r="D166" s="50" t="s">
        <v>254</v>
      </c>
      <c r="E166" s="50" t="s">
        <v>116</v>
      </c>
      <c r="F166" s="29" t="b">
        <f t="shared" si="2"/>
        <v>1</v>
      </c>
    </row>
    <row r="167" spans="1:6" x14ac:dyDescent="0.2">
      <c r="A167" s="55" t="s">
        <v>255</v>
      </c>
      <c r="B167" s="57">
        <v>1</v>
      </c>
      <c r="C167" s="57" t="s">
        <v>356</v>
      </c>
      <c r="D167" s="50" t="s">
        <v>255</v>
      </c>
      <c r="E167" s="50" t="s">
        <v>116</v>
      </c>
      <c r="F167" s="29" t="b">
        <f t="shared" si="2"/>
        <v>1</v>
      </c>
    </row>
    <row r="168" spans="1:6" x14ac:dyDescent="0.2">
      <c r="A168" s="55" t="s">
        <v>256</v>
      </c>
      <c r="B168" s="57">
        <v>1</v>
      </c>
      <c r="C168" s="57" t="s">
        <v>355</v>
      </c>
      <c r="D168" s="50" t="s">
        <v>256</v>
      </c>
      <c r="E168" s="50" t="s">
        <v>116</v>
      </c>
      <c r="F168" s="29" t="b">
        <f t="shared" si="2"/>
        <v>1</v>
      </c>
    </row>
    <row r="169" spans="1:6" x14ac:dyDescent="0.2">
      <c r="A169" s="55" t="s">
        <v>259</v>
      </c>
      <c r="B169" s="57">
        <v>1</v>
      </c>
      <c r="C169" s="57" t="s">
        <v>355</v>
      </c>
      <c r="D169" s="50" t="s">
        <v>259</v>
      </c>
      <c r="E169" s="50" t="s">
        <v>116</v>
      </c>
      <c r="F169" s="29" t="b">
        <f t="shared" si="2"/>
        <v>1</v>
      </c>
    </row>
    <row r="170" spans="1:6" x14ac:dyDescent="0.2">
      <c r="A170" s="55" t="s">
        <v>260</v>
      </c>
      <c r="B170" s="57">
        <v>1</v>
      </c>
      <c r="C170" s="57" t="s">
        <v>355</v>
      </c>
      <c r="D170" s="50" t="s">
        <v>260</v>
      </c>
      <c r="E170" s="50" t="s">
        <v>18</v>
      </c>
      <c r="F170" s="29" t="b">
        <f t="shared" si="2"/>
        <v>1</v>
      </c>
    </row>
    <row r="171" spans="1:6" x14ac:dyDescent="0.2">
      <c r="A171" s="55" t="s">
        <v>261</v>
      </c>
      <c r="B171" s="57">
        <v>1</v>
      </c>
      <c r="C171" s="57" t="s">
        <v>356</v>
      </c>
      <c r="D171" s="50" t="s">
        <v>261</v>
      </c>
      <c r="E171" s="50" t="s">
        <v>18</v>
      </c>
      <c r="F171" s="29" t="b">
        <f t="shared" si="2"/>
        <v>1</v>
      </c>
    </row>
    <row r="172" spans="1:6" x14ac:dyDescent="0.2">
      <c r="A172" s="55" t="s">
        <v>262</v>
      </c>
      <c r="B172" s="57">
        <v>1</v>
      </c>
      <c r="C172" s="57" t="s">
        <v>355</v>
      </c>
      <c r="D172" s="50" t="s">
        <v>262</v>
      </c>
      <c r="E172" s="50" t="s">
        <v>116</v>
      </c>
      <c r="F172" s="29" t="b">
        <f t="shared" si="2"/>
        <v>1</v>
      </c>
    </row>
    <row r="173" spans="1:6" x14ac:dyDescent="0.2">
      <c r="A173" s="55" t="s">
        <v>263</v>
      </c>
      <c r="B173" s="57">
        <v>1</v>
      </c>
      <c r="C173" s="57" t="s">
        <v>356</v>
      </c>
      <c r="D173" s="50" t="s">
        <v>263</v>
      </c>
      <c r="E173" s="50" t="s">
        <v>116</v>
      </c>
      <c r="F173" s="29" t="b">
        <f t="shared" si="2"/>
        <v>1</v>
      </c>
    </row>
    <row r="174" spans="1:6" x14ac:dyDescent="0.2">
      <c r="A174" s="55" t="s">
        <v>264</v>
      </c>
      <c r="B174" s="57">
        <v>1</v>
      </c>
      <c r="C174" s="57" t="s">
        <v>356</v>
      </c>
      <c r="D174" s="50" t="s">
        <v>264</v>
      </c>
      <c r="E174" s="50" t="s">
        <v>18</v>
      </c>
      <c r="F174" s="29" t="b">
        <f t="shared" si="2"/>
        <v>1</v>
      </c>
    </row>
    <row r="175" spans="1:6" x14ac:dyDescent="0.2">
      <c r="A175" s="55" t="s">
        <v>265</v>
      </c>
      <c r="B175" s="57">
        <v>1</v>
      </c>
      <c r="C175" s="57" t="s">
        <v>355</v>
      </c>
      <c r="D175" s="50" t="s">
        <v>265</v>
      </c>
      <c r="E175" s="50" t="s">
        <v>116</v>
      </c>
      <c r="F175" s="29" t="b">
        <f t="shared" si="2"/>
        <v>1</v>
      </c>
    </row>
    <row r="176" spans="1:6" x14ac:dyDescent="0.2">
      <c r="A176" s="55" t="s">
        <v>266</v>
      </c>
      <c r="B176" s="57">
        <v>1</v>
      </c>
      <c r="C176" s="57" t="s">
        <v>355</v>
      </c>
      <c r="D176" s="50" t="s">
        <v>266</v>
      </c>
      <c r="E176" s="50" t="s">
        <v>116</v>
      </c>
      <c r="F176" s="29" t="b">
        <f t="shared" si="2"/>
        <v>1</v>
      </c>
    </row>
    <row r="177" spans="1:6" x14ac:dyDescent="0.2">
      <c r="A177" s="55" t="s">
        <v>267</v>
      </c>
      <c r="B177" s="57">
        <v>1</v>
      </c>
      <c r="C177" s="57" t="s">
        <v>355</v>
      </c>
      <c r="D177" s="50" t="s">
        <v>267</v>
      </c>
      <c r="E177" s="50" t="s">
        <v>18</v>
      </c>
      <c r="F177" s="29" t="b">
        <f t="shared" si="2"/>
        <v>1</v>
      </c>
    </row>
    <row r="178" spans="1:6" x14ac:dyDescent="0.2">
      <c r="A178" s="55" t="s">
        <v>268</v>
      </c>
      <c r="B178" s="57">
        <v>1</v>
      </c>
      <c r="C178" s="57" t="s">
        <v>355</v>
      </c>
      <c r="D178" s="50" t="s">
        <v>268</v>
      </c>
      <c r="E178" s="50" t="s">
        <v>18</v>
      </c>
      <c r="F178" s="29" t="b">
        <f t="shared" si="2"/>
        <v>1</v>
      </c>
    </row>
    <row r="179" spans="1:6" x14ac:dyDescent="0.2">
      <c r="A179" s="55" t="s">
        <v>269</v>
      </c>
      <c r="B179" s="57">
        <v>1</v>
      </c>
      <c r="C179" s="57" t="s">
        <v>356</v>
      </c>
      <c r="D179" s="50" t="s">
        <v>269</v>
      </c>
      <c r="E179" s="50" t="s">
        <v>18</v>
      </c>
      <c r="F179" s="29" t="b">
        <f t="shared" si="2"/>
        <v>1</v>
      </c>
    </row>
    <row r="180" spans="1:6" x14ac:dyDescent="0.2">
      <c r="A180" s="55" t="s">
        <v>270</v>
      </c>
      <c r="B180" s="57">
        <v>1</v>
      </c>
      <c r="C180" s="57" t="s">
        <v>356</v>
      </c>
      <c r="D180" s="50" t="s">
        <v>270</v>
      </c>
      <c r="E180" s="50" t="s">
        <v>18</v>
      </c>
      <c r="F180" s="29" t="b">
        <f t="shared" si="2"/>
        <v>1</v>
      </c>
    </row>
    <row r="181" spans="1:6" x14ac:dyDescent="0.2">
      <c r="A181" s="55" t="s">
        <v>271</v>
      </c>
      <c r="B181" s="57">
        <v>1</v>
      </c>
      <c r="C181" s="57" t="s">
        <v>355</v>
      </c>
      <c r="D181" s="50" t="s">
        <v>271</v>
      </c>
      <c r="E181" s="50" t="s">
        <v>46</v>
      </c>
      <c r="F181" s="29" t="b">
        <f t="shared" si="2"/>
        <v>1</v>
      </c>
    </row>
    <row r="182" spans="1:6" x14ac:dyDescent="0.2">
      <c r="A182" s="55" t="s">
        <v>272</v>
      </c>
      <c r="B182" s="57">
        <v>1</v>
      </c>
      <c r="C182" s="57" t="s">
        <v>355</v>
      </c>
      <c r="D182" s="50" t="s">
        <v>272</v>
      </c>
      <c r="E182" s="50" t="s">
        <v>46</v>
      </c>
      <c r="F182" s="29" t="b">
        <f t="shared" si="2"/>
        <v>1</v>
      </c>
    </row>
    <row r="183" spans="1:6" x14ac:dyDescent="0.2">
      <c r="A183" s="55" t="s">
        <v>273</v>
      </c>
      <c r="B183" s="57">
        <v>1</v>
      </c>
      <c r="C183" s="57" t="s">
        <v>355</v>
      </c>
      <c r="D183" s="50" t="s">
        <v>273</v>
      </c>
      <c r="E183" s="50" t="s">
        <v>116</v>
      </c>
      <c r="F183" s="29" t="b">
        <f t="shared" si="2"/>
        <v>1</v>
      </c>
    </row>
    <row r="184" spans="1:6" x14ac:dyDescent="0.2">
      <c r="A184" s="55" t="s">
        <v>275</v>
      </c>
      <c r="B184" s="57">
        <v>1</v>
      </c>
      <c r="C184" s="57" t="s">
        <v>355</v>
      </c>
      <c r="D184" s="50" t="s">
        <v>275</v>
      </c>
      <c r="E184" s="50" t="s">
        <v>116</v>
      </c>
      <c r="F184" s="29" t="b">
        <f t="shared" si="2"/>
        <v>1</v>
      </c>
    </row>
    <row r="185" spans="1:6" x14ac:dyDescent="0.2">
      <c r="A185" s="55" t="s">
        <v>276</v>
      </c>
      <c r="B185" s="57">
        <v>1</v>
      </c>
      <c r="C185" s="57" t="s">
        <v>356</v>
      </c>
      <c r="D185" s="50" t="s">
        <v>276</v>
      </c>
      <c r="E185" s="50" t="s">
        <v>144</v>
      </c>
      <c r="F185" s="29" t="b">
        <f t="shared" si="2"/>
        <v>1</v>
      </c>
    </row>
    <row r="186" spans="1:6" x14ac:dyDescent="0.2">
      <c r="A186" s="55" t="s">
        <v>278</v>
      </c>
      <c r="B186" s="57">
        <v>1</v>
      </c>
      <c r="C186" s="57" t="s">
        <v>355</v>
      </c>
      <c r="D186" s="50" t="s">
        <v>278</v>
      </c>
      <c r="E186" s="50" t="s">
        <v>116</v>
      </c>
      <c r="F186" s="29" t="b">
        <f t="shared" si="2"/>
        <v>1</v>
      </c>
    </row>
    <row r="187" spans="1:6" x14ac:dyDescent="0.2">
      <c r="A187" s="55" t="s">
        <v>279</v>
      </c>
      <c r="B187" s="57">
        <v>1</v>
      </c>
      <c r="C187" s="57" t="s">
        <v>355</v>
      </c>
      <c r="D187" s="50" t="s">
        <v>279</v>
      </c>
      <c r="E187" s="50" t="s">
        <v>144</v>
      </c>
      <c r="F187" s="29" t="b">
        <f t="shared" si="2"/>
        <v>1</v>
      </c>
    </row>
    <row r="188" spans="1:6" x14ac:dyDescent="0.2">
      <c r="A188" s="55" t="s">
        <v>280</v>
      </c>
      <c r="B188" s="57">
        <v>1</v>
      </c>
      <c r="C188" s="57" t="s">
        <v>355</v>
      </c>
      <c r="D188" s="50" t="s">
        <v>280</v>
      </c>
      <c r="E188" s="50" t="s">
        <v>116</v>
      </c>
      <c r="F188" s="29" t="b">
        <f t="shared" si="2"/>
        <v>1</v>
      </c>
    </row>
    <row r="189" spans="1:6" x14ac:dyDescent="0.2">
      <c r="A189" s="55" t="s">
        <v>282</v>
      </c>
      <c r="B189" s="57">
        <v>1</v>
      </c>
      <c r="C189" s="57" t="s">
        <v>355</v>
      </c>
      <c r="D189" s="50" t="s">
        <v>282</v>
      </c>
      <c r="E189" s="50" t="s">
        <v>116</v>
      </c>
      <c r="F189" s="29" t="b">
        <f t="shared" si="2"/>
        <v>1</v>
      </c>
    </row>
    <row r="190" spans="1:6" x14ac:dyDescent="0.2">
      <c r="A190" s="55" t="s">
        <v>283</v>
      </c>
      <c r="B190" s="57">
        <v>1</v>
      </c>
      <c r="C190" s="57" t="s">
        <v>355</v>
      </c>
      <c r="D190" s="50" t="s">
        <v>283</v>
      </c>
      <c r="E190" s="50" t="s">
        <v>116</v>
      </c>
      <c r="F190" s="29" t="b">
        <f t="shared" si="2"/>
        <v>1</v>
      </c>
    </row>
    <row r="191" spans="1:6" x14ac:dyDescent="0.2">
      <c r="A191" s="55" t="s">
        <v>284</v>
      </c>
      <c r="B191" s="57">
        <v>1</v>
      </c>
      <c r="C191" s="57" t="s">
        <v>356</v>
      </c>
      <c r="D191" s="50" t="s">
        <v>284</v>
      </c>
      <c r="E191" s="50" t="s">
        <v>116</v>
      </c>
      <c r="F191" s="29" t="b">
        <f t="shared" si="2"/>
        <v>1</v>
      </c>
    </row>
    <row r="192" spans="1:6" x14ac:dyDescent="0.2">
      <c r="A192" s="55" t="s">
        <v>286</v>
      </c>
      <c r="B192" s="57">
        <v>1</v>
      </c>
      <c r="C192" s="57" t="s">
        <v>355</v>
      </c>
      <c r="D192" s="50" t="s">
        <v>286</v>
      </c>
      <c r="E192" s="50" t="s">
        <v>116</v>
      </c>
      <c r="F192" s="29" t="b">
        <f t="shared" si="2"/>
        <v>1</v>
      </c>
    </row>
    <row r="193" spans="1:6" x14ac:dyDescent="0.2">
      <c r="A193" s="55" t="s">
        <v>287</v>
      </c>
      <c r="B193" s="57">
        <v>1</v>
      </c>
      <c r="C193" s="57" t="s">
        <v>356</v>
      </c>
      <c r="D193" s="50" t="s">
        <v>287</v>
      </c>
      <c r="E193" s="50" t="s">
        <v>18</v>
      </c>
      <c r="F193" s="29" t="b">
        <f t="shared" si="2"/>
        <v>1</v>
      </c>
    </row>
    <row r="194" spans="1:6" x14ac:dyDescent="0.2">
      <c r="A194" s="55" t="s">
        <v>288</v>
      </c>
      <c r="B194" s="57">
        <v>1</v>
      </c>
      <c r="C194" s="57" t="s">
        <v>356</v>
      </c>
      <c r="D194" s="50" t="s">
        <v>288</v>
      </c>
      <c r="E194" s="50" t="s">
        <v>18</v>
      </c>
      <c r="F194" s="29" t="b">
        <f t="shared" si="2"/>
        <v>1</v>
      </c>
    </row>
    <row r="195" spans="1:6" x14ac:dyDescent="0.2">
      <c r="A195" s="55" t="s">
        <v>289</v>
      </c>
      <c r="B195" s="57">
        <v>1</v>
      </c>
      <c r="C195" s="57" t="s">
        <v>356</v>
      </c>
      <c r="D195" s="50" t="s">
        <v>289</v>
      </c>
      <c r="E195" s="50" t="s">
        <v>18</v>
      </c>
      <c r="F195" s="29" t="b">
        <f t="shared" ref="F195:F213" si="3">EXACT(A195,D195)</f>
        <v>1</v>
      </c>
    </row>
    <row r="196" spans="1:6" x14ac:dyDescent="0.2">
      <c r="A196" s="55" t="s">
        <v>290</v>
      </c>
      <c r="B196" s="57">
        <v>1</v>
      </c>
      <c r="C196" s="57" t="s">
        <v>355</v>
      </c>
      <c r="D196" s="50" t="s">
        <v>290</v>
      </c>
      <c r="E196" s="50" t="s">
        <v>18</v>
      </c>
      <c r="F196" s="29" t="b">
        <f t="shared" si="3"/>
        <v>1</v>
      </c>
    </row>
    <row r="197" spans="1:6" x14ac:dyDescent="0.2">
      <c r="A197" s="55" t="s">
        <v>291</v>
      </c>
      <c r="B197" s="57">
        <v>1</v>
      </c>
      <c r="C197" s="57" t="s">
        <v>356</v>
      </c>
      <c r="D197" s="50" t="s">
        <v>291</v>
      </c>
      <c r="E197" s="50" t="s">
        <v>18</v>
      </c>
      <c r="F197" s="29" t="b">
        <f t="shared" si="3"/>
        <v>1</v>
      </c>
    </row>
    <row r="198" spans="1:6" x14ac:dyDescent="0.2">
      <c r="A198" s="55" t="s">
        <v>292</v>
      </c>
      <c r="B198" s="57">
        <v>1</v>
      </c>
      <c r="C198" s="57" t="s">
        <v>349</v>
      </c>
      <c r="D198" s="50" t="s">
        <v>292</v>
      </c>
      <c r="E198" s="50" t="s">
        <v>39</v>
      </c>
      <c r="F198" s="29" t="b">
        <f t="shared" si="3"/>
        <v>1</v>
      </c>
    </row>
    <row r="199" spans="1:6" x14ac:dyDescent="0.2">
      <c r="A199" s="55" t="s">
        <v>293</v>
      </c>
      <c r="B199" s="57">
        <v>1</v>
      </c>
      <c r="C199" s="57" t="s">
        <v>356</v>
      </c>
      <c r="D199" s="50" t="s">
        <v>293</v>
      </c>
      <c r="E199" s="22" t="s">
        <v>80</v>
      </c>
      <c r="F199" s="29" t="b">
        <f t="shared" si="3"/>
        <v>1</v>
      </c>
    </row>
    <row r="200" spans="1:6" x14ac:dyDescent="0.2">
      <c r="A200" s="55" t="s">
        <v>294</v>
      </c>
      <c r="B200" s="57">
        <v>1</v>
      </c>
      <c r="C200" s="57" t="s">
        <v>351</v>
      </c>
      <c r="D200" s="50" t="s">
        <v>294</v>
      </c>
      <c r="E200" s="22" t="s">
        <v>80</v>
      </c>
      <c r="F200" s="29" t="b">
        <f t="shared" si="3"/>
        <v>1</v>
      </c>
    </row>
    <row r="201" spans="1:6" x14ac:dyDescent="0.2">
      <c r="A201" s="55" t="s">
        <v>295</v>
      </c>
      <c r="B201" s="57">
        <v>1</v>
      </c>
      <c r="C201" s="57" t="s">
        <v>355</v>
      </c>
      <c r="D201" s="50" t="s">
        <v>295</v>
      </c>
      <c r="E201" s="50" t="s">
        <v>91</v>
      </c>
      <c r="F201" s="29" t="b">
        <f t="shared" si="3"/>
        <v>1</v>
      </c>
    </row>
    <row r="202" spans="1:6" x14ac:dyDescent="0.2">
      <c r="A202" s="55" t="s">
        <v>296</v>
      </c>
      <c r="B202" s="57">
        <v>1</v>
      </c>
      <c r="C202" s="57" t="s">
        <v>355</v>
      </c>
      <c r="D202" s="50" t="s">
        <v>296</v>
      </c>
      <c r="E202" s="50" t="s">
        <v>97</v>
      </c>
      <c r="F202" s="29" t="b">
        <f t="shared" si="3"/>
        <v>1</v>
      </c>
    </row>
    <row r="203" spans="1:6" x14ac:dyDescent="0.2">
      <c r="A203" s="55" t="s">
        <v>298</v>
      </c>
      <c r="B203" s="57">
        <v>1</v>
      </c>
      <c r="C203" s="57" t="s">
        <v>355</v>
      </c>
      <c r="D203" s="50" t="s">
        <v>298</v>
      </c>
      <c r="E203" s="50" t="s">
        <v>100</v>
      </c>
      <c r="F203" s="29" t="b">
        <f t="shared" si="3"/>
        <v>1</v>
      </c>
    </row>
    <row r="204" spans="1:6" x14ac:dyDescent="0.2">
      <c r="A204" s="55" t="s">
        <v>299</v>
      </c>
      <c r="B204" s="57">
        <v>1</v>
      </c>
      <c r="C204" s="57" t="s">
        <v>356</v>
      </c>
      <c r="D204" s="50" t="s">
        <v>299</v>
      </c>
      <c r="E204" s="50" t="s">
        <v>100</v>
      </c>
      <c r="F204" s="29" t="b">
        <f t="shared" si="3"/>
        <v>1</v>
      </c>
    </row>
    <row r="205" spans="1:6" x14ac:dyDescent="0.2">
      <c r="A205" s="55" t="s">
        <v>301</v>
      </c>
      <c r="B205" s="57">
        <v>1</v>
      </c>
      <c r="C205" s="57" t="s">
        <v>355</v>
      </c>
      <c r="D205" s="50" t="s">
        <v>301</v>
      </c>
      <c r="E205" s="22" t="s">
        <v>80</v>
      </c>
      <c r="F205" s="29" t="b">
        <f t="shared" si="3"/>
        <v>1</v>
      </c>
    </row>
    <row r="206" spans="1:6" x14ac:dyDescent="0.2">
      <c r="A206" s="55" t="s">
        <v>303</v>
      </c>
      <c r="B206" s="57">
        <v>1</v>
      </c>
      <c r="C206" s="57" t="s">
        <v>355</v>
      </c>
      <c r="D206" s="50" t="s">
        <v>303</v>
      </c>
      <c r="E206" s="50" t="s">
        <v>58</v>
      </c>
      <c r="F206" s="29" t="b">
        <f t="shared" si="3"/>
        <v>1</v>
      </c>
    </row>
    <row r="207" spans="1:6" x14ac:dyDescent="0.2">
      <c r="A207" s="55" t="s">
        <v>304</v>
      </c>
      <c r="B207" s="57">
        <v>1</v>
      </c>
      <c r="C207" s="57" t="s">
        <v>355</v>
      </c>
      <c r="D207" s="50" t="s">
        <v>304</v>
      </c>
      <c r="E207" s="50" t="s">
        <v>18</v>
      </c>
      <c r="F207" s="29" t="b">
        <f t="shared" si="3"/>
        <v>1</v>
      </c>
    </row>
    <row r="208" spans="1:6" x14ac:dyDescent="0.2">
      <c r="A208" s="55" t="s">
        <v>306</v>
      </c>
      <c r="B208" s="57">
        <v>1</v>
      </c>
      <c r="C208" s="57" t="s">
        <v>355</v>
      </c>
      <c r="D208" s="50" t="s">
        <v>306</v>
      </c>
      <c r="E208" s="50" t="s">
        <v>144</v>
      </c>
      <c r="F208" s="29" t="b">
        <f t="shared" si="3"/>
        <v>1</v>
      </c>
    </row>
    <row r="209" spans="1:6" x14ac:dyDescent="0.2">
      <c r="A209" s="55" t="s">
        <v>307</v>
      </c>
      <c r="B209" s="57">
        <v>1</v>
      </c>
      <c r="C209" s="57" t="s">
        <v>356</v>
      </c>
      <c r="D209" s="50" t="s">
        <v>307</v>
      </c>
      <c r="E209" s="50" t="s">
        <v>144</v>
      </c>
      <c r="F209" s="29" t="b">
        <f t="shared" si="3"/>
        <v>1</v>
      </c>
    </row>
    <row r="210" spans="1:6" x14ac:dyDescent="0.2">
      <c r="A210" s="55" t="s">
        <v>308</v>
      </c>
      <c r="B210" s="57">
        <v>1</v>
      </c>
      <c r="C210" s="57" t="s">
        <v>351</v>
      </c>
      <c r="D210" s="50" t="s">
        <v>308</v>
      </c>
      <c r="E210" s="50" t="s">
        <v>39</v>
      </c>
      <c r="F210" s="29" t="b">
        <f t="shared" si="3"/>
        <v>1</v>
      </c>
    </row>
    <row r="211" spans="1:6" x14ac:dyDescent="0.2">
      <c r="A211" s="55" t="s">
        <v>309</v>
      </c>
      <c r="B211" s="57">
        <v>1</v>
      </c>
      <c r="C211" s="57" t="s">
        <v>350</v>
      </c>
      <c r="D211" s="50" t="s">
        <v>309</v>
      </c>
      <c r="E211" s="50" t="s">
        <v>39</v>
      </c>
      <c r="F211" s="29" t="b">
        <f t="shared" si="3"/>
        <v>1</v>
      </c>
    </row>
    <row r="212" spans="1:6" x14ac:dyDescent="0.2">
      <c r="A212" s="55" t="s">
        <v>310</v>
      </c>
      <c r="B212" s="57">
        <v>1</v>
      </c>
      <c r="C212" s="57" t="s">
        <v>350</v>
      </c>
      <c r="D212" s="50" t="s">
        <v>310</v>
      </c>
      <c r="E212" s="50" t="s">
        <v>18</v>
      </c>
      <c r="F212" s="29" t="b">
        <f t="shared" si="3"/>
        <v>1</v>
      </c>
    </row>
    <row r="213" spans="1:6" x14ac:dyDescent="0.2">
      <c r="A213" s="55" t="s">
        <v>311</v>
      </c>
      <c r="B213" s="57">
        <v>1</v>
      </c>
      <c r="C213" s="57" t="s">
        <v>350</v>
      </c>
      <c r="D213" s="50" t="s">
        <v>311</v>
      </c>
      <c r="E213" s="22" t="s">
        <v>80</v>
      </c>
      <c r="F213" s="29" t="b">
        <f t="shared" si="3"/>
        <v>1</v>
      </c>
    </row>
    <row r="214" spans="1:6" x14ac:dyDescent="0.2">
      <c r="A214" s="55"/>
      <c r="B214" s="57"/>
      <c r="C214" s="57"/>
      <c r="D214" s="50"/>
      <c r="E214" s="50"/>
      <c r="F214" s="29"/>
    </row>
    <row r="215" spans="1:6" x14ac:dyDescent="0.2">
      <c r="A215" s="55"/>
      <c r="B215" s="57"/>
      <c r="C215" s="57"/>
      <c r="D215" s="50"/>
      <c r="E215" s="50"/>
      <c r="F215" s="29"/>
    </row>
    <row r="216" spans="1:6" x14ac:dyDescent="0.2">
      <c r="A216" s="55"/>
      <c r="B216" s="57"/>
      <c r="C216" s="57"/>
      <c r="D216" s="29"/>
      <c r="E216" s="29"/>
      <c r="F216" s="29"/>
    </row>
    <row r="217" spans="1:6" x14ac:dyDescent="0.2">
      <c r="A217" s="55"/>
      <c r="B217" s="57"/>
      <c r="C217" s="57"/>
      <c r="D217" s="29"/>
      <c r="E217" s="29"/>
      <c r="F217" s="29"/>
    </row>
    <row r="218" spans="1:6" x14ac:dyDescent="0.2">
      <c r="A218" s="55"/>
      <c r="B218" s="57"/>
      <c r="C218" s="57"/>
      <c r="D218" s="29"/>
      <c r="E218" s="29"/>
      <c r="F218" s="29"/>
    </row>
    <row r="219" spans="1:6" x14ac:dyDescent="0.2">
      <c r="A219" s="55"/>
      <c r="B219" s="57"/>
      <c r="C219" s="57"/>
      <c r="D219" s="29"/>
      <c r="E219" s="29"/>
      <c r="F219" s="29"/>
    </row>
    <row r="220" spans="1:6" x14ac:dyDescent="0.2">
      <c r="A220" s="55"/>
      <c r="B220" s="57"/>
      <c r="C220" s="57"/>
      <c r="D220" s="29"/>
      <c r="E220" s="29"/>
      <c r="F220" s="29"/>
    </row>
    <row r="221" spans="1:6" x14ac:dyDescent="0.2">
      <c r="A221" s="55"/>
      <c r="B221" s="57"/>
      <c r="C221" s="57"/>
      <c r="D221" s="29"/>
      <c r="E221" s="29"/>
      <c r="F221" s="29"/>
    </row>
    <row r="222" spans="1:6" x14ac:dyDescent="0.2">
      <c r="A222" s="55"/>
      <c r="B222" s="57"/>
      <c r="C222" s="57"/>
      <c r="D222" s="29"/>
      <c r="E222" s="29"/>
      <c r="F222" s="29"/>
    </row>
    <row r="223" spans="1:6" x14ac:dyDescent="0.2">
      <c r="A223" s="55"/>
      <c r="B223" s="57"/>
      <c r="C223" s="57"/>
      <c r="D223" s="29"/>
      <c r="E223" s="29"/>
      <c r="F223" s="29"/>
    </row>
    <row r="224" spans="1:6" x14ac:dyDescent="0.2">
      <c r="A224" s="55"/>
      <c r="B224" s="57"/>
      <c r="C224" s="57"/>
      <c r="D224" s="29"/>
      <c r="E224" s="29"/>
      <c r="F224" s="29"/>
    </row>
    <row r="225" spans="1:6" x14ac:dyDescent="0.2">
      <c r="A225" s="55"/>
      <c r="B225" s="57"/>
      <c r="C225" s="57"/>
      <c r="D225" s="29"/>
      <c r="E225" s="29"/>
      <c r="F225" s="29"/>
    </row>
    <row r="226" spans="1:6" x14ac:dyDescent="0.2">
      <c r="A226" s="55"/>
      <c r="B226" s="57"/>
      <c r="C226" s="57"/>
      <c r="D226" s="29"/>
      <c r="E226" s="29"/>
      <c r="F226" s="29"/>
    </row>
    <row r="227" spans="1:6" x14ac:dyDescent="0.2">
      <c r="A227" s="55"/>
      <c r="B227" s="57"/>
      <c r="C227" s="57"/>
      <c r="D227" s="29"/>
      <c r="E227" s="29"/>
      <c r="F227" s="29"/>
    </row>
    <row r="228" spans="1:6" x14ac:dyDescent="0.2">
      <c r="A228" s="55"/>
      <c r="B228" s="57"/>
      <c r="C228" s="57"/>
      <c r="D228" s="29"/>
      <c r="E228" s="29"/>
      <c r="F228" s="29"/>
    </row>
    <row r="229" spans="1:6" x14ac:dyDescent="0.2">
      <c r="A229" s="55"/>
      <c r="B229" s="57"/>
      <c r="C229" s="57"/>
      <c r="D229" s="29"/>
      <c r="E229" s="29"/>
      <c r="F229" s="29"/>
    </row>
    <row r="230" spans="1:6" x14ac:dyDescent="0.2">
      <c r="A230" s="55"/>
      <c r="B230" s="57"/>
      <c r="C230" s="57"/>
      <c r="D230" s="29"/>
      <c r="E230" s="29"/>
      <c r="F230" s="29"/>
    </row>
    <row r="231" spans="1:6" x14ac:dyDescent="0.2">
      <c r="A231" s="55"/>
      <c r="B231" s="57"/>
      <c r="C231" s="57"/>
      <c r="D231" s="29"/>
      <c r="E231" s="29"/>
      <c r="F231" s="29"/>
    </row>
    <row r="232" spans="1:6" x14ac:dyDescent="0.2">
      <c r="A232" s="55"/>
      <c r="B232" s="57"/>
      <c r="C232" s="57"/>
      <c r="D232" s="29"/>
      <c r="E232" s="29"/>
      <c r="F232" s="29"/>
    </row>
    <row r="233" spans="1:6" x14ac:dyDescent="0.2">
      <c r="A233" s="55"/>
      <c r="B233" s="57"/>
      <c r="C233" s="57"/>
      <c r="D233" s="29"/>
      <c r="E233" s="29"/>
      <c r="F233" s="29"/>
    </row>
    <row r="234" spans="1:6" x14ac:dyDescent="0.2">
      <c r="A234" s="55"/>
      <c r="B234" s="56"/>
      <c r="C234" s="56"/>
      <c r="D234" s="29"/>
      <c r="E234" s="29"/>
      <c r="F234" s="29"/>
    </row>
    <row r="235" spans="1:6" x14ac:dyDescent="0.2">
      <c r="A235" s="55"/>
      <c r="B235" s="57"/>
      <c r="C235" s="57"/>
      <c r="D235" s="29"/>
      <c r="E235" s="29"/>
      <c r="F235" s="29"/>
    </row>
    <row r="236" spans="1:6" x14ac:dyDescent="0.2">
      <c r="A236" s="55"/>
      <c r="B236" s="56"/>
      <c r="C236" s="56"/>
      <c r="D236" s="29"/>
      <c r="E236" s="29"/>
      <c r="F236" s="29"/>
    </row>
    <row r="237" spans="1:6" x14ac:dyDescent="0.2">
      <c r="A237" s="55"/>
      <c r="B237" s="57"/>
      <c r="C237" s="57"/>
      <c r="D237" s="29"/>
      <c r="E237" s="29"/>
      <c r="F237" s="29"/>
    </row>
    <row r="238" spans="1:6" x14ac:dyDescent="0.2">
      <c r="A238" s="55"/>
      <c r="B238" s="56"/>
      <c r="C238" s="56"/>
      <c r="D238" s="29"/>
      <c r="E238" s="29"/>
      <c r="F238" s="29"/>
    </row>
    <row r="239" spans="1:6" x14ac:dyDescent="0.2">
      <c r="A239" s="55"/>
      <c r="B239" s="57"/>
      <c r="C239" s="57"/>
      <c r="D239" s="29"/>
      <c r="E239" s="29"/>
      <c r="F239" s="29"/>
    </row>
    <row r="240" spans="1:6" x14ac:dyDescent="0.2">
      <c r="A240" s="55"/>
      <c r="B240" s="56"/>
      <c r="C240" s="56"/>
      <c r="D240" s="29"/>
      <c r="E240" s="29"/>
      <c r="F240" s="29"/>
    </row>
    <row r="241" spans="1:6" x14ac:dyDescent="0.2">
      <c r="A241" s="55"/>
      <c r="B241" s="57"/>
      <c r="C241" s="57"/>
      <c r="D241" s="29"/>
      <c r="E241" s="29"/>
      <c r="F241" s="29"/>
    </row>
    <row r="242" spans="1:6" x14ac:dyDescent="0.2">
      <c r="A242" s="55"/>
      <c r="B242" s="56"/>
      <c r="C242" s="56"/>
      <c r="D242" s="29"/>
      <c r="E242" s="29"/>
      <c r="F242" s="29"/>
    </row>
    <row r="243" spans="1:6" x14ac:dyDescent="0.2">
      <c r="A243" s="55"/>
      <c r="B243" s="57"/>
      <c r="C243" s="57"/>
      <c r="D243" s="29"/>
      <c r="E243" s="29"/>
      <c r="F243" s="29"/>
    </row>
    <row r="244" spans="1:6" x14ac:dyDescent="0.2">
      <c r="A244" s="55"/>
      <c r="B244" s="56"/>
      <c r="C244" s="56"/>
      <c r="D244" s="29"/>
      <c r="E244" s="29"/>
      <c r="F244" s="29"/>
    </row>
    <row r="245" spans="1:6" x14ac:dyDescent="0.2">
      <c r="A245" s="55"/>
      <c r="B245" s="57"/>
      <c r="C245" s="57"/>
      <c r="D245" s="29"/>
      <c r="E245" s="29"/>
      <c r="F245" s="29"/>
    </row>
    <row r="246" spans="1:6" x14ac:dyDescent="0.2">
      <c r="A246" s="55"/>
      <c r="B246" s="56"/>
      <c r="C246" s="56"/>
      <c r="D246" s="29"/>
      <c r="E246" s="29"/>
      <c r="F246" s="29"/>
    </row>
    <row r="247" spans="1:6" x14ac:dyDescent="0.2">
      <c r="A247" s="55"/>
      <c r="B247" s="57"/>
      <c r="C247" s="57"/>
      <c r="D247" s="29"/>
      <c r="E247" s="29"/>
      <c r="F247" s="29"/>
    </row>
    <row r="248" spans="1:6" x14ac:dyDescent="0.2">
      <c r="A248" s="55"/>
      <c r="B248" s="56"/>
      <c r="C248" s="56"/>
      <c r="D248" s="29"/>
      <c r="E248" s="29"/>
      <c r="F248" s="29"/>
    </row>
    <row r="249" spans="1:6" x14ac:dyDescent="0.2">
      <c r="A249" s="55"/>
      <c r="B249" s="57"/>
      <c r="C249" s="57"/>
      <c r="D249" s="29"/>
      <c r="E249" s="29"/>
      <c r="F249" s="29"/>
    </row>
    <row r="250" spans="1:6" x14ac:dyDescent="0.2">
      <c r="A250" s="55"/>
      <c r="B250" s="56"/>
      <c r="C250" s="56"/>
      <c r="D250" s="29"/>
      <c r="E250" s="29"/>
      <c r="F250" s="29"/>
    </row>
    <row r="251" spans="1:6" x14ac:dyDescent="0.2">
      <c r="A251" s="55"/>
      <c r="B251" s="57"/>
      <c r="C251" s="57"/>
      <c r="D251" s="29"/>
      <c r="E251" s="29"/>
      <c r="F251" s="29"/>
    </row>
    <row r="252" spans="1:6" x14ac:dyDescent="0.2">
      <c r="A252" s="55"/>
      <c r="B252" s="56"/>
      <c r="C252" s="56"/>
      <c r="D252" s="29"/>
      <c r="E252" s="29"/>
      <c r="F252" s="29"/>
    </row>
    <row r="253" spans="1:6" x14ac:dyDescent="0.2">
      <c r="A253" s="55"/>
      <c r="B253" s="57"/>
      <c r="C253" s="57"/>
      <c r="D253" s="29"/>
      <c r="E253" s="29"/>
      <c r="F253" s="29"/>
    </row>
    <row r="254" spans="1:6" x14ac:dyDescent="0.2">
      <c r="A254" s="55"/>
      <c r="B254" s="56"/>
      <c r="C254" s="56"/>
      <c r="D254" s="29"/>
      <c r="E254" s="29"/>
      <c r="F254" s="29"/>
    </row>
    <row r="255" spans="1:6" x14ac:dyDescent="0.2">
      <c r="A255" s="55"/>
      <c r="B255" s="57"/>
      <c r="C255" s="57"/>
      <c r="D255" s="29"/>
      <c r="E255" s="29"/>
      <c r="F255" s="29"/>
    </row>
    <row r="256" spans="1:6" x14ac:dyDescent="0.2">
      <c r="A256" s="55"/>
      <c r="B256" s="56"/>
      <c r="C256" s="56"/>
      <c r="D256" s="29"/>
      <c r="E256" s="29"/>
      <c r="F256" s="29"/>
    </row>
    <row r="257" spans="1:6" x14ac:dyDescent="0.2">
      <c r="A257" s="55"/>
      <c r="B257" s="57"/>
      <c r="C257" s="57"/>
      <c r="D257" s="29"/>
      <c r="E257" s="29"/>
      <c r="F257" s="29"/>
    </row>
    <row r="258" spans="1:6" x14ac:dyDescent="0.2">
      <c r="A258" s="55"/>
      <c r="B258" s="56"/>
      <c r="C258" s="56"/>
      <c r="D258" s="29"/>
      <c r="E258" s="29"/>
      <c r="F258" s="29"/>
    </row>
    <row r="259" spans="1:6" x14ac:dyDescent="0.2">
      <c r="A259" s="55"/>
      <c r="B259" s="57"/>
      <c r="C259" s="57"/>
      <c r="D259" s="29"/>
      <c r="E259" s="29"/>
      <c r="F259" s="29"/>
    </row>
    <row r="260" spans="1:6" x14ac:dyDescent="0.2">
      <c r="A260" s="55"/>
      <c r="B260" s="56"/>
      <c r="C260" s="56"/>
      <c r="D260" s="29"/>
      <c r="E260" s="29"/>
      <c r="F260" s="29"/>
    </row>
    <row r="261" spans="1:6" x14ac:dyDescent="0.2">
      <c r="A261" s="55"/>
      <c r="B261" s="57"/>
      <c r="C261" s="57"/>
      <c r="D261" s="29"/>
      <c r="E261" s="29"/>
      <c r="F261" s="29"/>
    </row>
    <row r="262" spans="1:6" x14ac:dyDescent="0.2">
      <c r="A262" s="55"/>
      <c r="B262" s="56"/>
      <c r="C262" s="56"/>
      <c r="D262" s="29"/>
      <c r="E262" s="29"/>
      <c r="F262" s="29"/>
    </row>
    <row r="263" spans="1:6" x14ac:dyDescent="0.2">
      <c r="A263" s="55"/>
      <c r="B263" s="57"/>
      <c r="C263" s="57"/>
      <c r="D263" s="29"/>
      <c r="E263" s="29"/>
      <c r="F263" s="29"/>
    </row>
    <row r="264" spans="1:6" x14ac:dyDescent="0.2">
      <c r="A264" s="55"/>
      <c r="B264" s="56"/>
      <c r="C264" s="56"/>
      <c r="D264" s="29"/>
      <c r="E264" s="29"/>
      <c r="F264" s="29"/>
    </row>
    <row r="265" spans="1:6" x14ac:dyDescent="0.2">
      <c r="A265" s="55"/>
      <c r="B265" s="57"/>
      <c r="C265" s="57"/>
      <c r="D265" s="29"/>
      <c r="E265" s="29"/>
      <c r="F265" s="29"/>
    </row>
    <row r="266" spans="1:6" x14ac:dyDescent="0.2">
      <c r="A266" s="55"/>
      <c r="B266" s="56"/>
      <c r="C266" s="56"/>
      <c r="D266" s="29"/>
      <c r="E266" s="29"/>
      <c r="F266" s="29"/>
    </row>
    <row r="267" spans="1:6" x14ac:dyDescent="0.2">
      <c r="A267" s="55"/>
      <c r="B267" s="57"/>
      <c r="C267" s="57"/>
      <c r="D267" s="29"/>
      <c r="E267" s="29"/>
      <c r="F267" s="29"/>
    </row>
    <row r="268" spans="1:6" x14ac:dyDescent="0.2">
      <c r="A268" s="55"/>
      <c r="B268" s="56"/>
      <c r="C268" s="56"/>
      <c r="D268" s="29"/>
      <c r="E268" s="29"/>
      <c r="F268" s="29"/>
    </row>
    <row r="269" spans="1:6" x14ac:dyDescent="0.2">
      <c r="A269" s="55"/>
      <c r="B269" s="57"/>
      <c r="C269" s="57"/>
      <c r="D269" s="29"/>
      <c r="E269" s="29"/>
      <c r="F269" s="29"/>
    </row>
    <row r="270" spans="1:6" x14ac:dyDescent="0.2">
      <c r="A270" s="55"/>
      <c r="B270" s="56"/>
      <c r="C270" s="56"/>
      <c r="D270" s="29"/>
      <c r="E270" s="29"/>
      <c r="F270" s="29"/>
    </row>
    <row r="271" spans="1:6" x14ac:dyDescent="0.2">
      <c r="A271" s="55"/>
      <c r="B271" s="57"/>
      <c r="C271" s="57"/>
      <c r="D271" s="29"/>
      <c r="E271" s="29"/>
      <c r="F271" s="29"/>
    </row>
    <row r="272" spans="1:6" x14ac:dyDescent="0.2">
      <c r="A272" s="55"/>
      <c r="B272" s="56"/>
      <c r="C272" s="56"/>
      <c r="D272" s="29"/>
      <c r="E272" s="29"/>
      <c r="F272" s="29"/>
    </row>
    <row r="273" spans="1:6" x14ac:dyDescent="0.2">
      <c r="A273" s="55"/>
      <c r="B273" s="57"/>
      <c r="C273" s="57"/>
      <c r="D273" s="29"/>
      <c r="E273" s="29"/>
      <c r="F273" s="29"/>
    </row>
    <row r="274" spans="1:6" x14ac:dyDescent="0.2">
      <c r="A274" s="55"/>
      <c r="B274" s="56"/>
      <c r="C274" s="56"/>
      <c r="D274" s="29"/>
      <c r="E274" s="29"/>
      <c r="F274" s="29"/>
    </row>
    <row r="275" spans="1:6" x14ac:dyDescent="0.2">
      <c r="A275" s="55"/>
      <c r="B275" s="57"/>
      <c r="C275" s="57"/>
      <c r="D275" s="29"/>
      <c r="E275" s="29"/>
      <c r="F275" s="29"/>
    </row>
    <row r="276" spans="1:6" x14ac:dyDescent="0.2">
      <c r="A276" s="55"/>
      <c r="B276" s="56"/>
      <c r="C276" s="56"/>
      <c r="D276" s="29"/>
      <c r="E276" s="29"/>
      <c r="F276" s="29"/>
    </row>
    <row r="277" spans="1:6" x14ac:dyDescent="0.2">
      <c r="A277" s="55"/>
      <c r="B277" s="57"/>
      <c r="C277" s="57"/>
      <c r="D277" s="29"/>
      <c r="E277" s="29"/>
      <c r="F277" s="29"/>
    </row>
    <row r="278" spans="1:6" x14ac:dyDescent="0.2">
      <c r="A278" s="55"/>
      <c r="B278" s="56"/>
      <c r="C278" s="56"/>
      <c r="D278" s="29"/>
      <c r="E278" s="29"/>
      <c r="F278" s="29"/>
    </row>
    <row r="279" spans="1:6" x14ac:dyDescent="0.2">
      <c r="A279" s="55"/>
      <c r="B279" s="57"/>
      <c r="C279" s="57"/>
      <c r="D279" s="29"/>
      <c r="E279" s="29"/>
      <c r="F279" s="29"/>
    </row>
    <row r="280" spans="1:6" x14ac:dyDescent="0.2">
      <c r="A280" s="55"/>
      <c r="B280" s="56"/>
      <c r="C280" s="56"/>
      <c r="D280" s="29"/>
      <c r="E280" s="29"/>
      <c r="F280" s="29"/>
    </row>
    <row r="281" spans="1:6" x14ac:dyDescent="0.2">
      <c r="A281" s="55"/>
      <c r="B281" s="57"/>
      <c r="C281" s="57"/>
      <c r="D281" s="29"/>
      <c r="E281" s="29"/>
      <c r="F281" s="29"/>
    </row>
    <row r="282" spans="1:6" x14ac:dyDescent="0.2">
      <c r="A282" s="55"/>
      <c r="B282" s="56"/>
      <c r="C282" s="56"/>
      <c r="D282" s="29"/>
      <c r="E282" s="29"/>
      <c r="F282" s="29"/>
    </row>
    <row r="283" spans="1:6" x14ac:dyDescent="0.2">
      <c r="A283" s="55"/>
      <c r="B283" s="57"/>
      <c r="C283" s="57"/>
      <c r="D283" s="29"/>
      <c r="E283" s="29"/>
      <c r="F283" s="29"/>
    </row>
    <row r="284" spans="1:6" x14ac:dyDescent="0.2">
      <c r="A284" s="55"/>
      <c r="B284" s="56"/>
      <c r="C284" s="56"/>
      <c r="D284" s="29"/>
      <c r="E284" s="29"/>
      <c r="F284" s="29"/>
    </row>
    <row r="285" spans="1:6" x14ac:dyDescent="0.2">
      <c r="A285" s="55"/>
      <c r="B285" s="57"/>
      <c r="C285" s="57"/>
      <c r="D285" s="29"/>
      <c r="E285" s="29"/>
      <c r="F285" s="29"/>
    </row>
    <row r="286" spans="1:6" x14ac:dyDescent="0.2">
      <c r="A286" s="55"/>
      <c r="B286" s="56"/>
      <c r="C286" s="56"/>
      <c r="D286" s="29"/>
      <c r="E286" s="29"/>
      <c r="F286" s="29"/>
    </row>
    <row r="287" spans="1:6" x14ac:dyDescent="0.2">
      <c r="A287" s="55"/>
      <c r="B287" s="57"/>
      <c r="C287" s="57"/>
      <c r="D287" s="29"/>
      <c r="E287" s="29"/>
      <c r="F287" s="29"/>
    </row>
    <row r="288" spans="1:6" x14ac:dyDescent="0.2">
      <c r="A288" s="55"/>
      <c r="B288" s="56"/>
      <c r="C288" s="56"/>
      <c r="D288" s="29"/>
      <c r="E288" s="29"/>
      <c r="F288" s="29"/>
    </row>
    <row r="289" spans="1:6" x14ac:dyDescent="0.2">
      <c r="A289" s="55"/>
      <c r="B289" s="57"/>
      <c r="C289" s="57"/>
      <c r="D289" s="29"/>
      <c r="E289" s="29"/>
      <c r="F289" s="29"/>
    </row>
    <row r="290" spans="1:6" x14ac:dyDescent="0.2">
      <c r="A290" s="55"/>
      <c r="B290" s="56"/>
      <c r="C290" s="56"/>
      <c r="D290" s="29"/>
      <c r="E290" s="29"/>
      <c r="F290" s="29"/>
    </row>
    <row r="291" spans="1:6" x14ac:dyDescent="0.2">
      <c r="A291" s="55"/>
      <c r="B291" s="57"/>
      <c r="C291" s="57"/>
      <c r="D291" s="29"/>
      <c r="E291" s="29"/>
      <c r="F291" s="29"/>
    </row>
    <row r="292" spans="1:6" x14ac:dyDescent="0.2">
      <c r="A292" s="55"/>
      <c r="B292" s="56"/>
      <c r="C292" s="56"/>
      <c r="D292" s="29"/>
      <c r="E292" s="29"/>
      <c r="F292" s="29"/>
    </row>
    <row r="293" spans="1:6" x14ac:dyDescent="0.2">
      <c r="A293" s="55"/>
      <c r="B293" s="57"/>
      <c r="C293" s="57"/>
      <c r="D293" s="29"/>
      <c r="E293" s="29"/>
      <c r="F293" s="29"/>
    </row>
    <row r="294" spans="1:6" x14ac:dyDescent="0.2">
      <c r="A294" s="55"/>
      <c r="B294" s="56"/>
      <c r="C294" s="56"/>
      <c r="D294" s="29"/>
      <c r="E294" s="29"/>
      <c r="F294" s="29"/>
    </row>
    <row r="295" spans="1:6" x14ac:dyDescent="0.2">
      <c r="A295" s="55"/>
      <c r="B295" s="57"/>
      <c r="C295" s="57"/>
      <c r="D295" s="29"/>
      <c r="E295" s="29"/>
      <c r="F295" s="29"/>
    </row>
    <row r="296" spans="1:6" x14ac:dyDescent="0.2">
      <c r="A296" s="55"/>
      <c r="B296" s="56"/>
      <c r="C296" s="56"/>
      <c r="D296" s="29"/>
      <c r="E296" s="29"/>
      <c r="F296" s="29"/>
    </row>
    <row r="297" spans="1:6" x14ac:dyDescent="0.2">
      <c r="A297" s="55"/>
      <c r="B297" s="57"/>
      <c r="C297" s="57"/>
      <c r="D297" s="29"/>
      <c r="E297" s="29"/>
      <c r="F297" s="29"/>
    </row>
    <row r="298" spans="1:6" x14ac:dyDescent="0.2">
      <c r="A298" s="55"/>
      <c r="B298" s="56"/>
      <c r="C298" s="56"/>
      <c r="D298" s="29"/>
      <c r="E298" s="29"/>
      <c r="F298" s="29"/>
    </row>
    <row r="299" spans="1:6" x14ac:dyDescent="0.2">
      <c r="A299" s="55"/>
      <c r="B299" s="57"/>
      <c r="C299" s="57"/>
      <c r="D299" s="29"/>
      <c r="E299" s="29"/>
      <c r="F299" s="29"/>
    </row>
    <row r="300" spans="1:6" x14ac:dyDescent="0.2">
      <c r="A300" s="55"/>
      <c r="B300" s="56"/>
      <c r="C300" s="56"/>
      <c r="D300" s="29"/>
      <c r="E300" s="29"/>
      <c r="F300" s="29"/>
    </row>
    <row r="301" spans="1:6" x14ac:dyDescent="0.2">
      <c r="A301" s="55"/>
      <c r="B301" s="57"/>
      <c r="C301" s="57"/>
      <c r="D301" s="29"/>
      <c r="E301" s="29"/>
      <c r="F301" s="29"/>
    </row>
    <row r="302" spans="1:6" x14ac:dyDescent="0.2">
      <c r="A302" s="55"/>
      <c r="B302" s="56"/>
      <c r="C302" s="56"/>
      <c r="D302" s="29"/>
      <c r="E302" s="29"/>
      <c r="F302" s="29"/>
    </row>
    <row r="303" spans="1:6" x14ac:dyDescent="0.2">
      <c r="A303" s="55"/>
      <c r="B303" s="57"/>
      <c r="C303" s="57"/>
      <c r="D303" s="29"/>
      <c r="E303" s="29"/>
      <c r="F303" s="29"/>
    </row>
    <row r="304" spans="1:6" x14ac:dyDescent="0.2">
      <c r="A304" s="55"/>
      <c r="B304" s="56"/>
      <c r="C304" s="56"/>
      <c r="D304" s="29"/>
      <c r="E304" s="29"/>
      <c r="F304" s="29"/>
    </row>
    <row r="305" spans="1:6" x14ac:dyDescent="0.2">
      <c r="A305" s="55"/>
      <c r="B305" s="57"/>
      <c r="C305" s="57"/>
      <c r="D305" s="29"/>
      <c r="E305" s="29"/>
      <c r="F305" s="29"/>
    </row>
    <row r="306" spans="1:6" x14ac:dyDescent="0.2">
      <c r="A306" s="55"/>
      <c r="B306" s="56"/>
      <c r="C306" s="56"/>
      <c r="D306" s="29"/>
      <c r="E306" s="29"/>
      <c r="F306" s="29"/>
    </row>
    <row r="307" spans="1:6" x14ac:dyDescent="0.2">
      <c r="A307" s="55"/>
      <c r="B307" s="57"/>
      <c r="C307" s="57"/>
      <c r="D307" s="29"/>
      <c r="E307" s="29"/>
      <c r="F307" s="29"/>
    </row>
    <row r="308" spans="1:6" x14ac:dyDescent="0.2">
      <c r="A308" s="55"/>
      <c r="B308" s="56"/>
      <c r="C308" s="56"/>
      <c r="D308" s="29"/>
      <c r="E308" s="29"/>
      <c r="F308" s="29"/>
    </row>
    <row r="309" spans="1:6" x14ac:dyDescent="0.2">
      <c r="A309" s="55"/>
      <c r="B309" s="57"/>
      <c r="C309" s="57"/>
      <c r="D309" s="29"/>
      <c r="E309" s="29"/>
      <c r="F309" s="29"/>
    </row>
    <row r="310" spans="1:6" x14ac:dyDescent="0.2">
      <c r="A310" s="55"/>
      <c r="B310" s="56"/>
      <c r="C310" s="56"/>
      <c r="D310" s="29"/>
      <c r="E310" s="29"/>
      <c r="F310" s="29"/>
    </row>
    <row r="311" spans="1:6" x14ac:dyDescent="0.2">
      <c r="A311" s="55"/>
      <c r="B311" s="57"/>
      <c r="C311" s="57"/>
      <c r="D311" s="29"/>
      <c r="E311" s="29"/>
      <c r="F311" s="29"/>
    </row>
    <row r="312" spans="1:6" x14ac:dyDescent="0.2">
      <c r="A312" s="55"/>
      <c r="B312" s="56"/>
      <c r="C312" s="56"/>
      <c r="D312" s="29"/>
      <c r="E312" s="29"/>
      <c r="F312" s="29"/>
    </row>
    <row r="313" spans="1:6" x14ac:dyDescent="0.2">
      <c r="A313" s="55"/>
      <c r="B313" s="57"/>
      <c r="C313" s="57"/>
      <c r="D313" s="29"/>
      <c r="E313" s="29"/>
      <c r="F313" s="29"/>
    </row>
    <row r="314" spans="1:6" x14ac:dyDescent="0.2">
      <c r="A314" s="55"/>
      <c r="B314" s="56"/>
      <c r="C314" s="56"/>
      <c r="D314" s="29"/>
      <c r="E314" s="29"/>
      <c r="F314" s="29"/>
    </row>
    <row r="315" spans="1:6" x14ac:dyDescent="0.2">
      <c r="A315" s="55"/>
      <c r="B315" s="57"/>
      <c r="C315" s="57"/>
      <c r="D315" s="29"/>
      <c r="E315" s="29"/>
      <c r="F315" s="29"/>
    </row>
    <row r="316" spans="1:6" x14ac:dyDescent="0.2">
      <c r="A316" s="55"/>
      <c r="B316" s="56"/>
      <c r="C316" s="56"/>
      <c r="D316" s="29"/>
      <c r="E316" s="29"/>
      <c r="F316" s="29"/>
    </row>
    <row r="317" spans="1:6" x14ac:dyDescent="0.2">
      <c r="A317" s="55"/>
      <c r="B317" s="57"/>
      <c r="C317" s="57"/>
      <c r="D317" s="29"/>
      <c r="E317" s="29"/>
      <c r="F317" s="29"/>
    </row>
    <row r="318" spans="1:6" x14ac:dyDescent="0.2">
      <c r="A318" s="55"/>
      <c r="B318" s="56"/>
      <c r="C318" s="56"/>
      <c r="D318" s="29"/>
      <c r="E318" s="29"/>
      <c r="F318" s="29"/>
    </row>
    <row r="319" spans="1:6" x14ac:dyDescent="0.2">
      <c r="A319" s="55"/>
      <c r="B319" s="57"/>
      <c r="C319" s="57"/>
      <c r="D319" s="29"/>
      <c r="E319" s="29"/>
      <c r="F319" s="29"/>
    </row>
    <row r="320" spans="1:6" x14ac:dyDescent="0.2">
      <c r="A320" s="55"/>
      <c r="B320" s="56"/>
      <c r="C320" s="56"/>
      <c r="D320" s="29"/>
      <c r="E320" s="29"/>
      <c r="F320" s="29"/>
    </row>
    <row r="321" spans="1:6" x14ac:dyDescent="0.2">
      <c r="A321" s="55"/>
      <c r="B321" s="57"/>
      <c r="C321" s="57"/>
      <c r="D321" s="29"/>
      <c r="E321" s="29"/>
      <c r="F321" s="29"/>
    </row>
    <row r="322" spans="1:6" x14ac:dyDescent="0.2">
      <c r="A322" s="55"/>
      <c r="B322" s="56"/>
      <c r="C322" s="56"/>
      <c r="D322" s="29"/>
      <c r="E322" s="29"/>
      <c r="F322" s="29"/>
    </row>
    <row r="323" spans="1:6" x14ac:dyDescent="0.2">
      <c r="A323" s="55"/>
      <c r="B323" s="57"/>
      <c r="C323" s="57"/>
      <c r="D323" s="29"/>
      <c r="E323" s="29"/>
      <c r="F323" s="29"/>
    </row>
    <row r="324" spans="1:6" x14ac:dyDescent="0.2">
      <c r="A324" s="55"/>
      <c r="B324" s="56"/>
      <c r="C324" s="56"/>
      <c r="D324" s="29"/>
      <c r="E324" s="29"/>
      <c r="F324" s="29"/>
    </row>
    <row r="325" spans="1:6" x14ac:dyDescent="0.2">
      <c r="A325" s="55"/>
      <c r="B325" s="57"/>
      <c r="C325" s="57"/>
    </row>
    <row r="326" spans="1:6" x14ac:dyDescent="0.2">
      <c r="A326" s="55"/>
      <c r="B326" s="56"/>
      <c r="C326" s="56"/>
    </row>
    <row r="327" spans="1:6" x14ac:dyDescent="0.2">
      <c r="A327" s="55"/>
      <c r="B327" s="57"/>
      <c r="C327" s="57"/>
    </row>
    <row r="328" spans="1:6" x14ac:dyDescent="0.2">
      <c r="A328" s="55"/>
      <c r="B328" s="56"/>
      <c r="C328" s="56"/>
    </row>
  </sheetData>
  <sortState xmlns:xlrd2="http://schemas.microsoft.com/office/spreadsheetml/2017/richdata2" ref="A2:C333">
    <sortCondition ref="A2:A333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8D5FDB-B7E8-824D-AA3F-37A270CCE801}">
  <dimension ref="A1:G233"/>
  <sheetViews>
    <sheetView workbookViewId="0">
      <selection activeCell="A21" sqref="A21:XFD21"/>
    </sheetView>
  </sheetViews>
  <sheetFormatPr baseColWidth="10" defaultRowHeight="16" x14ac:dyDescent="0.2"/>
  <cols>
    <col min="1" max="1" width="42" customWidth="1"/>
    <col min="2" max="2" width="15.5" customWidth="1"/>
    <col min="3" max="3" width="33.1640625" customWidth="1"/>
    <col min="4" max="4" width="30.5" customWidth="1"/>
    <col min="5" max="5" width="24" customWidth="1"/>
  </cols>
  <sheetData>
    <row r="1" spans="1:7" x14ac:dyDescent="0.2">
      <c r="A1" s="55" t="s">
        <v>363</v>
      </c>
      <c r="B1" s="55" t="s">
        <v>364</v>
      </c>
      <c r="C1" s="55" t="s">
        <v>365</v>
      </c>
      <c r="D1" s="1" t="s">
        <v>0</v>
      </c>
      <c r="E1" s="1" t="s">
        <v>1</v>
      </c>
    </row>
    <row r="2" spans="1:7" x14ac:dyDescent="0.2">
      <c r="A2" s="55" t="s">
        <v>20</v>
      </c>
      <c r="B2" s="57">
        <v>1</v>
      </c>
      <c r="C2" s="57" t="s">
        <v>349</v>
      </c>
      <c r="D2" s="41" t="s">
        <v>20</v>
      </c>
      <c r="E2" s="43" t="s">
        <v>21</v>
      </c>
    </row>
    <row r="3" spans="1:7" x14ac:dyDescent="0.2">
      <c r="A3" s="55" t="s">
        <v>24</v>
      </c>
      <c r="B3" s="57">
        <v>1</v>
      </c>
      <c r="C3" s="57" t="s">
        <v>350</v>
      </c>
      <c r="D3" s="24" t="s">
        <v>24</v>
      </c>
      <c r="E3" s="24" t="s">
        <v>21</v>
      </c>
      <c r="G3" t="b">
        <f t="shared" ref="G3:G66" si="0">EXACT(A3,D3)</f>
        <v>1</v>
      </c>
    </row>
    <row r="4" spans="1:7" x14ac:dyDescent="0.2">
      <c r="A4" s="55" t="s">
        <v>27</v>
      </c>
      <c r="B4" s="57">
        <v>1</v>
      </c>
      <c r="C4" s="57" t="s">
        <v>349</v>
      </c>
      <c r="D4" s="41" t="s">
        <v>27</v>
      </c>
      <c r="E4" s="41" t="s">
        <v>28</v>
      </c>
      <c r="G4" t="b">
        <f t="shared" si="0"/>
        <v>1</v>
      </c>
    </row>
    <row r="5" spans="1:7" x14ac:dyDescent="0.2">
      <c r="A5" s="55" t="s">
        <v>30</v>
      </c>
      <c r="B5" s="57">
        <v>1</v>
      </c>
      <c r="C5" s="57" t="s">
        <v>350</v>
      </c>
      <c r="D5" s="41" t="s">
        <v>30</v>
      </c>
      <c r="E5" s="41" t="s">
        <v>28</v>
      </c>
      <c r="G5" t="b">
        <f t="shared" si="0"/>
        <v>1</v>
      </c>
    </row>
    <row r="6" spans="1:7" x14ac:dyDescent="0.2">
      <c r="A6" s="55" t="s">
        <v>31</v>
      </c>
      <c r="B6" s="57">
        <v>1</v>
      </c>
      <c r="C6" s="57" t="s">
        <v>349</v>
      </c>
      <c r="D6" s="41" t="s">
        <v>31</v>
      </c>
      <c r="E6" s="41" t="s">
        <v>32</v>
      </c>
      <c r="G6" t="b">
        <f t="shared" si="0"/>
        <v>1</v>
      </c>
    </row>
    <row r="7" spans="1:7" x14ac:dyDescent="0.2">
      <c r="A7" s="55" t="s">
        <v>33</v>
      </c>
      <c r="B7" s="57">
        <v>1</v>
      </c>
      <c r="C7" s="57" t="s">
        <v>350</v>
      </c>
      <c r="D7" s="41" t="s">
        <v>33</v>
      </c>
      <c r="E7" s="41" t="s">
        <v>32</v>
      </c>
      <c r="G7" t="b">
        <f t="shared" si="0"/>
        <v>1</v>
      </c>
    </row>
    <row r="8" spans="1:7" x14ac:dyDescent="0.2">
      <c r="A8" s="55" t="s">
        <v>35</v>
      </c>
      <c r="B8" s="57">
        <v>1</v>
      </c>
      <c r="C8" s="57" t="s">
        <v>349</v>
      </c>
      <c r="D8" s="24" t="s">
        <v>35</v>
      </c>
      <c r="E8" s="24" t="s">
        <v>28</v>
      </c>
      <c r="G8" t="b">
        <f t="shared" si="0"/>
        <v>1</v>
      </c>
    </row>
    <row r="9" spans="1:7" x14ac:dyDescent="0.2">
      <c r="A9" s="55" t="s">
        <v>36</v>
      </c>
      <c r="B9" s="57">
        <v>1</v>
      </c>
      <c r="C9" s="57" t="s">
        <v>350</v>
      </c>
      <c r="D9" s="41" t="s">
        <v>36</v>
      </c>
      <c r="E9" s="41" t="s">
        <v>28</v>
      </c>
      <c r="G9" t="b">
        <f t="shared" si="0"/>
        <v>1</v>
      </c>
    </row>
    <row r="10" spans="1:7" x14ac:dyDescent="0.2">
      <c r="A10" s="55" t="s">
        <v>37</v>
      </c>
      <c r="B10" s="57">
        <v>1</v>
      </c>
      <c r="C10" s="57" t="s">
        <v>350</v>
      </c>
      <c r="D10" s="41" t="s">
        <v>37</v>
      </c>
      <c r="E10" s="41" t="s">
        <v>32</v>
      </c>
      <c r="G10" t="b">
        <f t="shared" si="0"/>
        <v>1</v>
      </c>
    </row>
    <row r="11" spans="1:7" x14ac:dyDescent="0.2">
      <c r="A11" s="55" t="s">
        <v>38</v>
      </c>
      <c r="B11" s="57">
        <v>1</v>
      </c>
      <c r="C11" s="57" t="s">
        <v>349</v>
      </c>
      <c r="D11" s="41" t="s">
        <v>38</v>
      </c>
      <c r="E11" s="41" t="s">
        <v>39</v>
      </c>
      <c r="G11" t="b">
        <f t="shared" si="0"/>
        <v>1</v>
      </c>
    </row>
    <row r="12" spans="1:7" x14ac:dyDescent="0.2">
      <c r="A12" s="55" t="s">
        <v>40</v>
      </c>
      <c r="B12" s="57">
        <v>1</v>
      </c>
      <c r="C12" s="57" t="s">
        <v>353</v>
      </c>
      <c r="D12" s="24" t="s">
        <v>40</v>
      </c>
      <c r="E12" s="24" t="s">
        <v>41</v>
      </c>
      <c r="G12" t="b">
        <f t="shared" si="0"/>
        <v>1</v>
      </c>
    </row>
    <row r="13" spans="1:7" x14ac:dyDescent="0.2">
      <c r="A13" s="55" t="s">
        <v>42</v>
      </c>
      <c r="B13" s="57">
        <v>1</v>
      </c>
      <c r="C13" s="57" t="s">
        <v>352</v>
      </c>
      <c r="D13" s="24" t="s">
        <v>42</v>
      </c>
      <c r="E13" s="24" t="s">
        <v>41</v>
      </c>
      <c r="G13" t="b">
        <f t="shared" si="0"/>
        <v>1</v>
      </c>
    </row>
    <row r="14" spans="1:7" x14ac:dyDescent="0.2">
      <c r="A14" s="55" t="s">
        <v>45</v>
      </c>
      <c r="B14" s="57">
        <v>1</v>
      </c>
      <c r="C14" s="57" t="s">
        <v>350</v>
      </c>
      <c r="D14" s="41" t="s">
        <v>45</v>
      </c>
      <c r="E14" s="41" t="s">
        <v>46</v>
      </c>
      <c r="G14" t="b">
        <f t="shared" si="0"/>
        <v>1</v>
      </c>
    </row>
    <row r="15" spans="1:7" x14ac:dyDescent="0.2">
      <c r="A15" s="55" t="s">
        <v>48</v>
      </c>
      <c r="B15" s="57">
        <v>1</v>
      </c>
      <c r="C15" s="57" t="s">
        <v>349</v>
      </c>
      <c r="D15" s="41" t="s">
        <v>48</v>
      </c>
      <c r="E15" s="41" t="s">
        <v>49</v>
      </c>
      <c r="G15" t="b">
        <f t="shared" si="0"/>
        <v>1</v>
      </c>
    </row>
    <row r="16" spans="1:7" x14ac:dyDescent="0.2">
      <c r="A16" s="55" t="s">
        <v>50</v>
      </c>
      <c r="B16" s="57">
        <v>1</v>
      </c>
      <c r="C16" s="57" t="s">
        <v>350</v>
      </c>
      <c r="D16" s="41" t="s">
        <v>50</v>
      </c>
      <c r="E16" s="41" t="s">
        <v>49</v>
      </c>
      <c r="G16" t="b">
        <f>EXACT(A16,D16)</f>
        <v>1</v>
      </c>
    </row>
    <row r="17" spans="1:7" x14ac:dyDescent="0.2">
      <c r="A17" s="55" t="s">
        <v>52</v>
      </c>
      <c r="B17" s="57">
        <v>1</v>
      </c>
      <c r="C17" s="57" t="s">
        <v>351</v>
      </c>
      <c r="D17" s="41" t="s">
        <v>52</v>
      </c>
      <c r="E17" s="41" t="s">
        <v>39</v>
      </c>
      <c r="G17" t="b">
        <f>EXACT(A17,D17)</f>
        <v>1</v>
      </c>
    </row>
    <row r="18" spans="1:7" x14ac:dyDescent="0.2">
      <c r="A18" s="55" t="s">
        <v>55</v>
      </c>
      <c r="B18" s="57">
        <v>1</v>
      </c>
      <c r="C18" s="57" t="s">
        <v>349</v>
      </c>
      <c r="D18" s="41" t="s">
        <v>55</v>
      </c>
      <c r="E18" s="41" t="s">
        <v>18</v>
      </c>
      <c r="G18" t="b">
        <f t="shared" si="0"/>
        <v>1</v>
      </c>
    </row>
    <row r="19" spans="1:7" x14ac:dyDescent="0.2">
      <c r="A19" s="55" t="s">
        <v>56</v>
      </c>
      <c r="B19" s="57">
        <v>1</v>
      </c>
      <c r="C19" s="57" t="s">
        <v>351</v>
      </c>
      <c r="D19" s="41" t="s">
        <v>56</v>
      </c>
      <c r="E19" s="41" t="s">
        <v>18</v>
      </c>
      <c r="G19" t="b">
        <f t="shared" si="0"/>
        <v>1</v>
      </c>
    </row>
    <row r="20" spans="1:7" x14ac:dyDescent="0.2">
      <c r="A20" s="55" t="s">
        <v>17</v>
      </c>
      <c r="B20" s="57">
        <v>1</v>
      </c>
      <c r="C20" s="57" t="s">
        <v>350</v>
      </c>
      <c r="D20" s="41" t="s">
        <v>17</v>
      </c>
      <c r="E20" s="41" t="s">
        <v>18</v>
      </c>
      <c r="G20" t="b">
        <f t="shared" si="0"/>
        <v>1</v>
      </c>
    </row>
    <row r="21" spans="1:7" x14ac:dyDescent="0.2">
      <c r="A21" s="55"/>
      <c r="B21" s="57"/>
      <c r="C21" s="57"/>
      <c r="D21" s="41"/>
      <c r="E21" s="41"/>
    </row>
    <row r="22" spans="1:7" x14ac:dyDescent="0.2">
      <c r="A22" s="55" t="s">
        <v>59</v>
      </c>
      <c r="B22" s="57">
        <v>1</v>
      </c>
      <c r="C22" s="57" t="s">
        <v>355</v>
      </c>
      <c r="D22" s="41" t="s">
        <v>59</v>
      </c>
      <c r="E22" s="41" t="s">
        <v>28</v>
      </c>
      <c r="G22" t="b">
        <f t="shared" si="0"/>
        <v>1</v>
      </c>
    </row>
    <row r="23" spans="1:7" x14ac:dyDescent="0.2">
      <c r="A23" s="55" t="s">
        <v>61</v>
      </c>
      <c r="B23" s="57">
        <v>1</v>
      </c>
      <c r="C23" s="57" t="s">
        <v>356</v>
      </c>
      <c r="D23" s="41" t="s">
        <v>61</v>
      </c>
      <c r="E23" s="41" t="s">
        <v>28</v>
      </c>
      <c r="G23" t="b">
        <f t="shared" si="0"/>
        <v>1</v>
      </c>
    </row>
    <row r="24" spans="1:7" x14ac:dyDescent="0.2">
      <c r="A24" s="55" t="s">
        <v>64</v>
      </c>
      <c r="B24" s="57">
        <v>1</v>
      </c>
      <c r="C24" s="57" t="s">
        <v>349</v>
      </c>
      <c r="D24" s="41" t="s">
        <v>64</v>
      </c>
      <c r="E24" s="41" t="s">
        <v>18</v>
      </c>
      <c r="G24" t="b">
        <f t="shared" si="0"/>
        <v>1</v>
      </c>
    </row>
    <row r="25" spans="1:7" x14ac:dyDescent="0.2">
      <c r="A25" s="55" t="s">
        <v>65</v>
      </c>
      <c r="B25" s="57">
        <v>1</v>
      </c>
      <c r="C25" s="57" t="s">
        <v>351</v>
      </c>
      <c r="D25" s="41" t="s">
        <v>65</v>
      </c>
      <c r="E25" s="41" t="s">
        <v>18</v>
      </c>
      <c r="G25" t="b">
        <f t="shared" si="0"/>
        <v>1</v>
      </c>
    </row>
    <row r="26" spans="1:7" x14ac:dyDescent="0.2">
      <c r="A26" s="55" t="s">
        <v>66</v>
      </c>
      <c r="B26" s="57">
        <v>1</v>
      </c>
      <c r="C26" s="57" t="s">
        <v>349</v>
      </c>
      <c r="D26" s="43" t="s">
        <v>66</v>
      </c>
      <c r="E26" s="41" t="s">
        <v>18</v>
      </c>
      <c r="G26" t="b">
        <f t="shared" si="0"/>
        <v>1</v>
      </c>
    </row>
    <row r="27" spans="1:7" x14ac:dyDescent="0.2">
      <c r="A27" s="55" t="s">
        <v>67</v>
      </c>
      <c r="B27" s="57">
        <v>1</v>
      </c>
      <c r="C27" s="57" t="s">
        <v>353</v>
      </c>
      <c r="D27" s="41" t="s">
        <v>67</v>
      </c>
      <c r="E27" s="41" t="s">
        <v>68</v>
      </c>
      <c r="G27" t="b">
        <f t="shared" si="0"/>
        <v>1</v>
      </c>
    </row>
    <row r="28" spans="1:7" x14ac:dyDescent="0.2">
      <c r="A28" s="55" t="s">
        <v>70</v>
      </c>
      <c r="B28" s="57">
        <v>1</v>
      </c>
      <c r="C28" s="57" t="s">
        <v>352</v>
      </c>
      <c r="D28" s="41" t="s">
        <v>70</v>
      </c>
      <c r="E28" s="41" t="s">
        <v>58</v>
      </c>
      <c r="G28" t="b">
        <f t="shared" si="0"/>
        <v>1</v>
      </c>
    </row>
    <row r="29" spans="1:7" x14ac:dyDescent="0.2">
      <c r="A29" s="55" t="s">
        <v>73</v>
      </c>
      <c r="B29" s="57">
        <v>1</v>
      </c>
      <c r="C29" s="57" t="s">
        <v>352</v>
      </c>
      <c r="D29" s="41" t="s">
        <v>73</v>
      </c>
      <c r="E29" s="41" t="s">
        <v>58</v>
      </c>
      <c r="G29" t="b">
        <f>EXACT(A29,D29)</f>
        <v>1</v>
      </c>
    </row>
    <row r="30" spans="1:7" x14ac:dyDescent="0.2">
      <c r="A30" s="55"/>
      <c r="B30" s="57"/>
      <c r="C30" s="57"/>
      <c r="D30" s="41"/>
      <c r="E30" s="41"/>
    </row>
    <row r="31" spans="1:7" x14ac:dyDescent="0.2">
      <c r="A31" s="55"/>
      <c r="B31" s="57"/>
      <c r="C31" s="57"/>
      <c r="D31" s="41"/>
      <c r="E31" s="41"/>
    </row>
    <row r="32" spans="1:7" x14ac:dyDescent="0.2">
      <c r="A32" s="55" t="s">
        <v>79</v>
      </c>
      <c r="B32" s="57">
        <v>1</v>
      </c>
      <c r="C32" s="57" t="s">
        <v>349</v>
      </c>
      <c r="D32" s="41" t="s">
        <v>79</v>
      </c>
      <c r="E32" s="41" t="s">
        <v>80</v>
      </c>
      <c r="G32" t="b">
        <f t="shared" si="0"/>
        <v>1</v>
      </c>
    </row>
    <row r="33" spans="1:7" x14ac:dyDescent="0.2">
      <c r="A33" s="55" t="s">
        <v>81</v>
      </c>
      <c r="B33" s="57">
        <v>1</v>
      </c>
      <c r="C33" s="57" t="s">
        <v>351</v>
      </c>
      <c r="D33" s="41" t="s">
        <v>81</v>
      </c>
      <c r="E33" s="41" t="s">
        <v>80</v>
      </c>
      <c r="G33" t="b">
        <f t="shared" si="0"/>
        <v>1</v>
      </c>
    </row>
    <row r="34" spans="1:7" x14ac:dyDescent="0.2">
      <c r="A34" s="55" t="s">
        <v>83</v>
      </c>
      <c r="B34" s="57">
        <v>1</v>
      </c>
      <c r="C34" s="57" t="s">
        <v>350</v>
      </c>
      <c r="D34" s="24" t="s">
        <v>83</v>
      </c>
      <c r="E34" s="24" t="s">
        <v>84</v>
      </c>
      <c r="G34" t="b">
        <f t="shared" si="0"/>
        <v>1</v>
      </c>
    </row>
    <row r="35" spans="1:7" x14ac:dyDescent="0.2">
      <c r="A35" s="55" t="s">
        <v>86</v>
      </c>
      <c r="B35" s="57">
        <v>1</v>
      </c>
      <c r="C35" s="57" t="s">
        <v>349</v>
      </c>
      <c r="D35" s="41" t="s">
        <v>86</v>
      </c>
      <c r="E35" s="41" t="s">
        <v>87</v>
      </c>
      <c r="G35" t="b">
        <f t="shared" si="0"/>
        <v>1</v>
      </c>
    </row>
    <row r="36" spans="1:7" x14ac:dyDescent="0.2">
      <c r="A36" s="55" t="s">
        <v>88</v>
      </c>
      <c r="B36" s="57">
        <v>1</v>
      </c>
      <c r="C36" s="57" t="s">
        <v>352</v>
      </c>
      <c r="D36" s="41" t="s">
        <v>88</v>
      </c>
      <c r="E36" s="41" t="s">
        <v>18</v>
      </c>
      <c r="G36" t="b">
        <f t="shared" si="0"/>
        <v>1</v>
      </c>
    </row>
    <row r="37" spans="1:7" x14ac:dyDescent="0.2">
      <c r="A37" s="55" t="s">
        <v>89</v>
      </c>
      <c r="B37" s="57">
        <v>1</v>
      </c>
      <c r="C37" s="57" t="s">
        <v>352</v>
      </c>
      <c r="D37" s="41" t="s">
        <v>89</v>
      </c>
      <c r="E37" s="41" t="s">
        <v>18</v>
      </c>
      <c r="G37" t="b">
        <f t="shared" si="0"/>
        <v>1</v>
      </c>
    </row>
    <row r="38" spans="1:7" x14ac:dyDescent="0.2">
      <c r="A38" s="55" t="s">
        <v>90</v>
      </c>
      <c r="B38" s="57">
        <v>1</v>
      </c>
      <c r="C38" s="57" t="s">
        <v>349</v>
      </c>
      <c r="D38" s="41" t="s">
        <v>90</v>
      </c>
      <c r="E38" s="41" t="s">
        <v>91</v>
      </c>
      <c r="G38" t="b">
        <f t="shared" si="0"/>
        <v>1</v>
      </c>
    </row>
    <row r="39" spans="1:7" x14ac:dyDescent="0.2">
      <c r="A39" s="55" t="s">
        <v>92</v>
      </c>
      <c r="B39" s="57">
        <v>1</v>
      </c>
      <c r="C39" s="57" t="s">
        <v>350</v>
      </c>
      <c r="D39" s="41" t="s">
        <v>92</v>
      </c>
      <c r="E39" s="41" t="s">
        <v>91</v>
      </c>
      <c r="G39" t="b">
        <f t="shared" si="0"/>
        <v>1</v>
      </c>
    </row>
    <row r="40" spans="1:7" x14ac:dyDescent="0.2">
      <c r="A40" s="55" t="s">
        <v>93</v>
      </c>
      <c r="B40" s="57">
        <v>1</v>
      </c>
      <c r="C40" s="57" t="s">
        <v>350</v>
      </c>
      <c r="D40" s="41" t="s">
        <v>93</v>
      </c>
      <c r="E40" s="41" t="s">
        <v>87</v>
      </c>
      <c r="G40" t="b">
        <f t="shared" si="0"/>
        <v>1</v>
      </c>
    </row>
    <row r="41" spans="1:7" x14ac:dyDescent="0.2">
      <c r="A41" s="55" t="s">
        <v>94</v>
      </c>
      <c r="B41" s="57">
        <v>1</v>
      </c>
      <c r="C41" s="57" t="s">
        <v>352</v>
      </c>
      <c r="D41" s="41" t="s">
        <v>94</v>
      </c>
      <c r="E41" s="41" t="s">
        <v>18</v>
      </c>
      <c r="G41" t="b">
        <f t="shared" si="0"/>
        <v>1</v>
      </c>
    </row>
    <row r="42" spans="1:7" x14ac:dyDescent="0.2">
      <c r="A42" s="55" t="s">
        <v>96</v>
      </c>
      <c r="B42" s="57">
        <v>1</v>
      </c>
      <c r="C42" s="57" t="s">
        <v>353</v>
      </c>
      <c r="D42" s="41" t="s">
        <v>96</v>
      </c>
      <c r="E42" s="41" t="s">
        <v>97</v>
      </c>
      <c r="G42" t="b">
        <f t="shared" si="0"/>
        <v>1</v>
      </c>
    </row>
    <row r="43" spans="1:7" x14ac:dyDescent="0.2">
      <c r="A43" s="55" t="s">
        <v>99</v>
      </c>
      <c r="B43" s="57">
        <v>1</v>
      </c>
      <c r="C43" s="57" t="s">
        <v>352</v>
      </c>
      <c r="D43" s="41" t="s">
        <v>99</v>
      </c>
      <c r="E43" s="41" t="s">
        <v>100</v>
      </c>
      <c r="G43" t="b">
        <f t="shared" si="0"/>
        <v>1</v>
      </c>
    </row>
    <row r="44" spans="1:7" x14ac:dyDescent="0.2">
      <c r="A44" s="55" t="s">
        <v>101</v>
      </c>
      <c r="B44" s="57">
        <v>1</v>
      </c>
      <c r="C44" s="57" t="s">
        <v>353</v>
      </c>
      <c r="D44" s="41" t="s">
        <v>101</v>
      </c>
      <c r="E44" s="41" t="s">
        <v>18</v>
      </c>
      <c r="G44" t="b">
        <f t="shared" si="0"/>
        <v>1</v>
      </c>
    </row>
    <row r="45" spans="1:7" x14ac:dyDescent="0.2">
      <c r="A45" s="55" t="s">
        <v>102</v>
      </c>
      <c r="B45" s="57">
        <v>1</v>
      </c>
      <c r="C45" s="57" t="s">
        <v>352</v>
      </c>
      <c r="D45" s="41" t="s">
        <v>102</v>
      </c>
      <c r="E45" s="41" t="s">
        <v>18</v>
      </c>
      <c r="G45" t="b">
        <f t="shared" si="0"/>
        <v>1</v>
      </c>
    </row>
    <row r="46" spans="1:7" x14ac:dyDescent="0.2">
      <c r="A46" s="55" t="s">
        <v>104</v>
      </c>
      <c r="B46" s="57">
        <v>1</v>
      </c>
      <c r="C46" s="57" t="s">
        <v>353</v>
      </c>
      <c r="D46" s="41" t="s">
        <v>104</v>
      </c>
      <c r="E46" s="41" t="s">
        <v>80</v>
      </c>
      <c r="G46" t="b">
        <f t="shared" si="0"/>
        <v>1</v>
      </c>
    </row>
    <row r="47" spans="1:7" x14ac:dyDescent="0.2">
      <c r="A47" s="55" t="s">
        <v>106</v>
      </c>
      <c r="B47" s="57">
        <v>1</v>
      </c>
      <c r="C47" s="57" t="s">
        <v>352</v>
      </c>
      <c r="D47" s="41" t="s">
        <v>106</v>
      </c>
      <c r="E47" s="41" t="s">
        <v>80</v>
      </c>
      <c r="G47" t="b">
        <f t="shared" si="0"/>
        <v>1</v>
      </c>
    </row>
    <row r="48" spans="1:7" x14ac:dyDescent="0.2">
      <c r="A48" s="55" t="s">
        <v>107</v>
      </c>
      <c r="B48" s="57">
        <v>1</v>
      </c>
      <c r="C48" s="57" t="s">
        <v>349</v>
      </c>
      <c r="D48" s="41" t="s">
        <v>107</v>
      </c>
      <c r="E48" s="41" t="s">
        <v>80</v>
      </c>
      <c r="G48" t="b">
        <f t="shared" si="0"/>
        <v>1</v>
      </c>
    </row>
    <row r="49" spans="1:7" x14ac:dyDescent="0.2">
      <c r="A49" s="55" t="s">
        <v>109</v>
      </c>
      <c r="B49" s="57">
        <v>1</v>
      </c>
      <c r="C49" s="57" t="s">
        <v>351</v>
      </c>
      <c r="D49" s="41" t="s">
        <v>109</v>
      </c>
      <c r="E49" s="41" t="s">
        <v>80</v>
      </c>
      <c r="G49" t="b">
        <f t="shared" si="0"/>
        <v>1</v>
      </c>
    </row>
    <row r="50" spans="1:7" x14ac:dyDescent="0.2">
      <c r="A50" s="55" t="s">
        <v>110</v>
      </c>
      <c r="B50" s="57">
        <v>1</v>
      </c>
      <c r="C50" s="57" t="s">
        <v>349</v>
      </c>
      <c r="D50" s="13" t="s">
        <v>110</v>
      </c>
      <c r="E50" s="13" t="s">
        <v>18</v>
      </c>
      <c r="G50" t="b">
        <f t="shared" si="0"/>
        <v>1</v>
      </c>
    </row>
    <row r="51" spans="1:7" x14ac:dyDescent="0.2">
      <c r="A51" s="55" t="s">
        <v>111</v>
      </c>
      <c r="B51" s="57">
        <v>1</v>
      </c>
      <c r="C51" s="57" t="s">
        <v>351</v>
      </c>
      <c r="D51" s="13" t="s">
        <v>111</v>
      </c>
      <c r="E51" s="13" t="s">
        <v>18</v>
      </c>
      <c r="G51" t="b">
        <f t="shared" si="0"/>
        <v>1</v>
      </c>
    </row>
    <row r="52" spans="1:7" x14ac:dyDescent="0.2">
      <c r="A52" s="55" t="s">
        <v>112</v>
      </c>
      <c r="B52" s="57">
        <v>1</v>
      </c>
      <c r="C52" s="57" t="s">
        <v>350</v>
      </c>
      <c r="D52" s="24" t="s">
        <v>112</v>
      </c>
      <c r="E52" s="24" t="s">
        <v>39</v>
      </c>
      <c r="G52" t="b">
        <f t="shared" si="0"/>
        <v>1</v>
      </c>
    </row>
    <row r="53" spans="1:7" x14ac:dyDescent="0.2">
      <c r="A53" s="55" t="s">
        <v>115</v>
      </c>
      <c r="B53" s="57">
        <v>1</v>
      </c>
      <c r="C53" s="57" t="s">
        <v>353</v>
      </c>
      <c r="D53" s="41" t="s">
        <v>115</v>
      </c>
      <c r="E53" s="41" t="s">
        <v>116</v>
      </c>
      <c r="G53" t="b">
        <f t="shared" si="0"/>
        <v>1</v>
      </c>
    </row>
    <row r="54" spans="1:7" x14ac:dyDescent="0.2">
      <c r="A54" s="55" t="s">
        <v>117</v>
      </c>
      <c r="B54" s="57">
        <v>1</v>
      </c>
      <c r="C54" s="57" t="s">
        <v>352</v>
      </c>
      <c r="D54" s="41" t="s">
        <v>117</v>
      </c>
      <c r="E54" s="41" t="s">
        <v>116</v>
      </c>
      <c r="G54" t="b">
        <f t="shared" si="0"/>
        <v>1</v>
      </c>
    </row>
    <row r="55" spans="1:7" x14ac:dyDescent="0.2">
      <c r="A55" s="55" t="s">
        <v>118</v>
      </c>
      <c r="B55" s="57">
        <v>1</v>
      </c>
      <c r="C55" s="57" t="s">
        <v>349</v>
      </c>
      <c r="D55" s="41" t="s">
        <v>118</v>
      </c>
      <c r="E55" s="41" t="s">
        <v>119</v>
      </c>
      <c r="G55" t="b">
        <f t="shared" si="0"/>
        <v>1</v>
      </c>
    </row>
    <row r="56" spans="1:7" x14ac:dyDescent="0.2">
      <c r="A56" s="55" t="s">
        <v>120</v>
      </c>
      <c r="B56" s="57">
        <v>1</v>
      </c>
      <c r="C56" s="57" t="s">
        <v>353</v>
      </c>
      <c r="D56" s="41" t="s">
        <v>120</v>
      </c>
      <c r="E56" s="41" t="s">
        <v>18</v>
      </c>
      <c r="G56" t="b">
        <f t="shared" si="0"/>
        <v>1</v>
      </c>
    </row>
    <row r="57" spans="1:7" x14ac:dyDescent="0.2">
      <c r="A57" s="55" t="s">
        <v>121</v>
      </c>
      <c r="B57" s="57">
        <v>1</v>
      </c>
      <c r="C57" s="57" t="s">
        <v>349</v>
      </c>
      <c r="D57" s="41" t="s">
        <v>121</v>
      </c>
      <c r="E57" s="41" t="s">
        <v>39</v>
      </c>
      <c r="G57" t="b">
        <f t="shared" si="0"/>
        <v>1</v>
      </c>
    </row>
    <row r="58" spans="1:7" x14ac:dyDescent="0.2">
      <c r="A58" s="55" t="s">
        <v>122</v>
      </c>
      <c r="B58" s="57">
        <v>1</v>
      </c>
      <c r="C58" s="57" t="s">
        <v>353</v>
      </c>
      <c r="D58" s="41" t="s">
        <v>122</v>
      </c>
      <c r="E58" s="41" t="s">
        <v>39</v>
      </c>
      <c r="G58" t="b">
        <f t="shared" si="0"/>
        <v>1</v>
      </c>
    </row>
    <row r="59" spans="1:7" x14ac:dyDescent="0.2">
      <c r="A59" s="55" t="s">
        <v>123</v>
      </c>
      <c r="B59" s="57">
        <v>1</v>
      </c>
      <c r="C59" s="57" t="s">
        <v>352</v>
      </c>
      <c r="D59" s="41" t="s">
        <v>123</v>
      </c>
      <c r="E59" s="41" t="s">
        <v>39</v>
      </c>
      <c r="G59" t="b">
        <f t="shared" si="0"/>
        <v>1</v>
      </c>
    </row>
    <row r="60" spans="1:7" x14ac:dyDescent="0.2">
      <c r="A60" s="55" t="s">
        <v>125</v>
      </c>
      <c r="B60" s="57">
        <v>1</v>
      </c>
      <c r="C60" s="57" t="s">
        <v>349</v>
      </c>
      <c r="D60" s="41" t="s">
        <v>125</v>
      </c>
      <c r="E60" s="41" t="s">
        <v>39</v>
      </c>
      <c r="G60" t="b">
        <f t="shared" si="0"/>
        <v>1</v>
      </c>
    </row>
    <row r="61" spans="1:7" x14ac:dyDescent="0.2">
      <c r="A61" s="55" t="s">
        <v>126</v>
      </c>
      <c r="B61" s="57">
        <v>1</v>
      </c>
      <c r="C61" s="57" t="s">
        <v>350</v>
      </c>
      <c r="D61" s="41" t="s">
        <v>126</v>
      </c>
      <c r="E61" s="41" t="s">
        <v>39</v>
      </c>
      <c r="G61" t="b">
        <f t="shared" si="0"/>
        <v>1</v>
      </c>
    </row>
    <row r="62" spans="1:7" x14ac:dyDescent="0.2">
      <c r="A62" s="55" t="s">
        <v>127</v>
      </c>
      <c r="B62" s="57">
        <v>1</v>
      </c>
      <c r="C62" s="57" t="s">
        <v>349</v>
      </c>
      <c r="D62" s="41" t="s">
        <v>127</v>
      </c>
      <c r="E62" s="41" t="s">
        <v>39</v>
      </c>
      <c r="G62" t="b">
        <f t="shared" si="0"/>
        <v>1</v>
      </c>
    </row>
    <row r="63" spans="1:7" x14ac:dyDescent="0.2">
      <c r="A63" s="55" t="s">
        <v>128</v>
      </c>
      <c r="B63" s="57">
        <v>1</v>
      </c>
      <c r="C63" s="57" t="s">
        <v>350</v>
      </c>
      <c r="D63" s="41" t="s">
        <v>128</v>
      </c>
      <c r="E63" s="41" t="s">
        <v>39</v>
      </c>
      <c r="G63" t="b">
        <f t="shared" si="0"/>
        <v>1</v>
      </c>
    </row>
    <row r="64" spans="1:7" x14ac:dyDescent="0.2">
      <c r="A64" s="55" t="s">
        <v>129</v>
      </c>
      <c r="B64" s="57">
        <v>1</v>
      </c>
      <c r="C64" s="57" t="s">
        <v>349</v>
      </c>
      <c r="D64" s="41" t="s">
        <v>129</v>
      </c>
      <c r="E64" s="41" t="s">
        <v>39</v>
      </c>
      <c r="G64" t="b">
        <f t="shared" si="0"/>
        <v>1</v>
      </c>
    </row>
    <row r="65" spans="1:7" x14ac:dyDescent="0.2">
      <c r="A65" s="55" t="s">
        <v>130</v>
      </c>
      <c r="B65" s="57">
        <v>1</v>
      </c>
      <c r="C65" s="57" t="s">
        <v>350</v>
      </c>
      <c r="D65" s="41" t="s">
        <v>130</v>
      </c>
      <c r="E65" s="41" t="s">
        <v>39</v>
      </c>
      <c r="G65" t="b">
        <f t="shared" si="0"/>
        <v>1</v>
      </c>
    </row>
    <row r="66" spans="1:7" x14ac:dyDescent="0.2">
      <c r="A66" s="55" t="s">
        <v>131</v>
      </c>
      <c r="B66" s="57">
        <v>1</v>
      </c>
      <c r="C66" s="57" t="s">
        <v>349</v>
      </c>
      <c r="D66" s="41" t="s">
        <v>131</v>
      </c>
      <c r="E66" s="41" t="s">
        <v>39</v>
      </c>
      <c r="G66" t="b">
        <f t="shared" si="0"/>
        <v>1</v>
      </c>
    </row>
    <row r="67" spans="1:7" x14ac:dyDescent="0.2">
      <c r="A67" s="55" t="s">
        <v>132</v>
      </c>
      <c r="B67" s="57">
        <v>1</v>
      </c>
      <c r="C67" s="57" t="s">
        <v>349</v>
      </c>
      <c r="D67" s="41" t="s">
        <v>132</v>
      </c>
      <c r="E67" s="41" t="s">
        <v>39</v>
      </c>
      <c r="G67" t="b">
        <f t="shared" ref="G67:G130" si="1">EXACT(A67,D67)</f>
        <v>1</v>
      </c>
    </row>
    <row r="68" spans="1:7" x14ac:dyDescent="0.2">
      <c r="A68" s="55" t="s">
        <v>133</v>
      </c>
      <c r="B68" s="57">
        <v>1</v>
      </c>
      <c r="C68" s="57" t="s">
        <v>349</v>
      </c>
      <c r="D68" s="41" t="s">
        <v>133</v>
      </c>
      <c r="E68" s="41" t="s">
        <v>39</v>
      </c>
      <c r="G68" t="b">
        <f t="shared" si="1"/>
        <v>1</v>
      </c>
    </row>
    <row r="69" spans="1:7" x14ac:dyDescent="0.2">
      <c r="A69" s="55" t="s">
        <v>134</v>
      </c>
      <c r="B69" s="57">
        <v>1</v>
      </c>
      <c r="C69" s="57" t="s">
        <v>350</v>
      </c>
      <c r="D69" s="41" t="s">
        <v>134</v>
      </c>
      <c r="E69" s="41" t="s">
        <v>39</v>
      </c>
      <c r="G69" t="b">
        <f t="shared" si="1"/>
        <v>1</v>
      </c>
    </row>
    <row r="70" spans="1:7" x14ac:dyDescent="0.2">
      <c r="A70" s="55" t="s">
        <v>135</v>
      </c>
      <c r="B70" s="57">
        <v>1</v>
      </c>
      <c r="C70" s="57" t="s">
        <v>353</v>
      </c>
      <c r="D70" s="41" t="s">
        <v>135</v>
      </c>
      <c r="E70" s="41" t="s">
        <v>39</v>
      </c>
      <c r="G70" t="b">
        <f t="shared" si="1"/>
        <v>1</v>
      </c>
    </row>
    <row r="71" spans="1:7" x14ac:dyDescent="0.2">
      <c r="A71" s="55" t="s">
        <v>136</v>
      </c>
      <c r="B71" s="57">
        <v>1</v>
      </c>
      <c r="C71" s="57" t="s">
        <v>349</v>
      </c>
      <c r="D71" s="41" t="s">
        <v>136</v>
      </c>
      <c r="E71" s="41" t="s">
        <v>18</v>
      </c>
      <c r="G71" t="b">
        <f t="shared" si="1"/>
        <v>1</v>
      </c>
    </row>
    <row r="72" spans="1:7" x14ac:dyDescent="0.2">
      <c r="A72" s="55" t="s">
        <v>137</v>
      </c>
      <c r="B72" s="57">
        <v>1</v>
      </c>
      <c r="C72" s="57" t="s">
        <v>349</v>
      </c>
      <c r="D72" s="41" t="s">
        <v>137</v>
      </c>
      <c r="E72" s="41" t="s">
        <v>116</v>
      </c>
      <c r="G72" t="b">
        <f t="shared" si="1"/>
        <v>1</v>
      </c>
    </row>
    <row r="73" spans="1:7" x14ac:dyDescent="0.2">
      <c r="A73" s="55" t="s">
        <v>138</v>
      </c>
      <c r="B73" s="57">
        <v>1</v>
      </c>
      <c r="C73" s="57" t="s">
        <v>353</v>
      </c>
      <c r="D73" s="41" t="s">
        <v>138</v>
      </c>
      <c r="E73" s="41" t="s">
        <v>116</v>
      </c>
      <c r="G73" t="b">
        <f t="shared" si="1"/>
        <v>1</v>
      </c>
    </row>
    <row r="74" spans="1:7" x14ac:dyDescent="0.2">
      <c r="A74" s="55" t="s">
        <v>139</v>
      </c>
      <c r="B74" s="57">
        <v>1</v>
      </c>
      <c r="C74" s="57" t="s">
        <v>352</v>
      </c>
      <c r="D74" s="41" t="s">
        <v>139</v>
      </c>
      <c r="E74" s="41" t="s">
        <v>116</v>
      </c>
      <c r="G74" t="b">
        <f t="shared" si="1"/>
        <v>1</v>
      </c>
    </row>
    <row r="75" spans="1:7" x14ac:dyDescent="0.2">
      <c r="A75" s="55" t="s">
        <v>140</v>
      </c>
      <c r="B75" s="57">
        <v>1</v>
      </c>
      <c r="C75" s="57" t="s">
        <v>349</v>
      </c>
      <c r="D75" s="41" t="s">
        <v>140</v>
      </c>
      <c r="E75" s="41" t="s">
        <v>116</v>
      </c>
      <c r="G75" t="b">
        <f t="shared" si="1"/>
        <v>1</v>
      </c>
    </row>
    <row r="76" spans="1:7" x14ac:dyDescent="0.2">
      <c r="A76" s="55" t="s">
        <v>141</v>
      </c>
      <c r="B76" s="57">
        <v>1</v>
      </c>
      <c r="C76" s="57" t="s">
        <v>351</v>
      </c>
      <c r="D76" s="41" t="s">
        <v>141</v>
      </c>
      <c r="E76" s="41" t="s">
        <v>116</v>
      </c>
      <c r="G76" t="b">
        <f t="shared" si="1"/>
        <v>1</v>
      </c>
    </row>
    <row r="77" spans="1:7" x14ac:dyDescent="0.2">
      <c r="A77" s="55" t="s">
        <v>142</v>
      </c>
      <c r="B77" s="57">
        <v>1</v>
      </c>
      <c r="C77" s="57" t="s">
        <v>353</v>
      </c>
      <c r="D77" s="41" t="s">
        <v>142</v>
      </c>
      <c r="E77" s="41" t="s">
        <v>18</v>
      </c>
      <c r="G77" t="b">
        <f t="shared" si="1"/>
        <v>1</v>
      </c>
    </row>
    <row r="78" spans="1:7" x14ac:dyDescent="0.2">
      <c r="A78" s="55" t="s">
        <v>143</v>
      </c>
      <c r="B78" s="57">
        <v>1</v>
      </c>
      <c r="C78" s="57" t="s">
        <v>353</v>
      </c>
      <c r="D78" s="41" t="s">
        <v>143</v>
      </c>
      <c r="E78" s="41" t="s">
        <v>144</v>
      </c>
      <c r="G78" t="b">
        <f t="shared" si="1"/>
        <v>1</v>
      </c>
    </row>
    <row r="79" spans="1:7" x14ac:dyDescent="0.2">
      <c r="A79" s="55" t="s">
        <v>145</v>
      </c>
      <c r="B79" s="57">
        <v>1</v>
      </c>
      <c r="C79" s="57" t="s">
        <v>349</v>
      </c>
      <c r="D79" s="41" t="s">
        <v>145</v>
      </c>
      <c r="E79" s="41" t="s">
        <v>116</v>
      </c>
      <c r="G79" t="b">
        <f t="shared" si="1"/>
        <v>1</v>
      </c>
    </row>
    <row r="80" spans="1:7" x14ac:dyDescent="0.2">
      <c r="A80" s="55" t="s">
        <v>146</v>
      </c>
      <c r="B80" s="57">
        <v>1</v>
      </c>
      <c r="C80" s="57" t="s">
        <v>349</v>
      </c>
      <c r="D80" s="41" t="s">
        <v>146</v>
      </c>
      <c r="E80" s="41" t="s">
        <v>18</v>
      </c>
      <c r="G80" t="b">
        <f t="shared" si="1"/>
        <v>1</v>
      </c>
    </row>
    <row r="81" spans="1:7" x14ac:dyDescent="0.2">
      <c r="A81" s="55" t="s">
        <v>147</v>
      </c>
      <c r="B81" s="57">
        <v>1</v>
      </c>
      <c r="C81" s="57" t="s">
        <v>349</v>
      </c>
      <c r="D81" s="41" t="s">
        <v>147</v>
      </c>
      <c r="E81" s="41" t="s">
        <v>18</v>
      </c>
      <c r="G81" t="b">
        <f t="shared" si="1"/>
        <v>1</v>
      </c>
    </row>
    <row r="82" spans="1:7" x14ac:dyDescent="0.2">
      <c r="A82" s="55" t="s">
        <v>148</v>
      </c>
      <c r="B82" s="57">
        <v>1</v>
      </c>
      <c r="C82" s="57" t="s">
        <v>350</v>
      </c>
      <c r="D82" s="41" t="s">
        <v>148</v>
      </c>
      <c r="E82" s="41" t="s">
        <v>18</v>
      </c>
      <c r="G82" t="b">
        <f t="shared" si="1"/>
        <v>1</v>
      </c>
    </row>
    <row r="83" spans="1:7" x14ac:dyDescent="0.2">
      <c r="A83" s="55" t="s">
        <v>150</v>
      </c>
      <c r="B83" s="57">
        <v>1</v>
      </c>
      <c r="C83" s="57" t="s">
        <v>349</v>
      </c>
      <c r="D83" s="41" t="s">
        <v>150</v>
      </c>
      <c r="E83" s="41" t="s">
        <v>18</v>
      </c>
      <c r="G83" t="b">
        <f t="shared" si="1"/>
        <v>1</v>
      </c>
    </row>
    <row r="84" spans="1:7" x14ac:dyDescent="0.2">
      <c r="A84" s="55" t="s">
        <v>151</v>
      </c>
      <c r="B84" s="57">
        <v>1</v>
      </c>
      <c r="C84" s="57" t="s">
        <v>353</v>
      </c>
      <c r="D84" s="41" t="s">
        <v>151</v>
      </c>
      <c r="E84" s="41" t="s">
        <v>144</v>
      </c>
      <c r="G84" t="b">
        <f t="shared" si="1"/>
        <v>1</v>
      </c>
    </row>
    <row r="85" spans="1:7" x14ac:dyDescent="0.2">
      <c r="A85" s="55" t="s">
        <v>153</v>
      </c>
      <c r="B85" s="57">
        <v>1</v>
      </c>
      <c r="C85" s="57" t="s">
        <v>349</v>
      </c>
      <c r="D85" s="41" t="s">
        <v>153</v>
      </c>
      <c r="E85" s="41" t="s">
        <v>116</v>
      </c>
      <c r="G85" t="b">
        <f t="shared" si="1"/>
        <v>1</v>
      </c>
    </row>
    <row r="86" spans="1:7" x14ac:dyDescent="0.2">
      <c r="A86" s="55" t="s">
        <v>154</v>
      </c>
      <c r="B86" s="57">
        <v>1</v>
      </c>
      <c r="C86" s="57" t="s">
        <v>353</v>
      </c>
      <c r="D86" s="41" t="s">
        <v>154</v>
      </c>
      <c r="E86" s="41" t="s">
        <v>144</v>
      </c>
      <c r="G86" t="b">
        <f t="shared" si="1"/>
        <v>1</v>
      </c>
    </row>
    <row r="87" spans="1:7" x14ac:dyDescent="0.2">
      <c r="A87" s="55" t="s">
        <v>157</v>
      </c>
      <c r="B87" s="57">
        <v>1</v>
      </c>
      <c r="C87" s="57" t="s">
        <v>353</v>
      </c>
      <c r="D87" s="41" t="s">
        <v>157</v>
      </c>
      <c r="E87" s="41" t="s">
        <v>144</v>
      </c>
      <c r="G87" t="b">
        <f t="shared" si="1"/>
        <v>1</v>
      </c>
    </row>
    <row r="88" spans="1:7" x14ac:dyDescent="0.2">
      <c r="A88" s="55" t="s">
        <v>158</v>
      </c>
      <c r="B88" s="57">
        <v>1</v>
      </c>
      <c r="C88" s="57" t="s">
        <v>353</v>
      </c>
      <c r="D88" s="41" t="s">
        <v>158</v>
      </c>
      <c r="E88" s="41" t="s">
        <v>144</v>
      </c>
      <c r="G88" t="b">
        <f t="shared" si="1"/>
        <v>1</v>
      </c>
    </row>
    <row r="89" spans="1:7" x14ac:dyDescent="0.2">
      <c r="A89" s="55" t="s">
        <v>159</v>
      </c>
      <c r="B89" s="57">
        <v>1</v>
      </c>
      <c r="C89" s="57" t="s">
        <v>353</v>
      </c>
      <c r="D89" s="41" t="s">
        <v>159</v>
      </c>
      <c r="E89" s="41" t="s">
        <v>18</v>
      </c>
      <c r="G89" t="b">
        <f t="shared" si="1"/>
        <v>1</v>
      </c>
    </row>
    <row r="90" spans="1:7" x14ac:dyDescent="0.2">
      <c r="A90" s="55" t="s">
        <v>160</v>
      </c>
      <c r="B90" s="57">
        <v>1</v>
      </c>
      <c r="C90" s="57" t="s">
        <v>353</v>
      </c>
      <c r="D90" s="41" t="s">
        <v>160</v>
      </c>
      <c r="E90" s="41" t="s">
        <v>161</v>
      </c>
      <c r="G90" t="b">
        <f t="shared" si="1"/>
        <v>1</v>
      </c>
    </row>
    <row r="91" spans="1:7" x14ac:dyDescent="0.2">
      <c r="A91" s="55" t="s">
        <v>162</v>
      </c>
      <c r="B91" s="57">
        <v>1</v>
      </c>
      <c r="C91" s="57" t="s">
        <v>353</v>
      </c>
      <c r="D91" s="41" t="s">
        <v>162</v>
      </c>
      <c r="E91" s="41" t="s">
        <v>163</v>
      </c>
      <c r="G91" t="b">
        <f t="shared" si="1"/>
        <v>1</v>
      </c>
    </row>
    <row r="92" spans="1:7" x14ac:dyDescent="0.2">
      <c r="A92" s="55" t="s">
        <v>164</v>
      </c>
      <c r="B92" s="57">
        <v>1</v>
      </c>
      <c r="C92" s="57" t="s">
        <v>353</v>
      </c>
      <c r="D92" s="41" t="s">
        <v>164</v>
      </c>
      <c r="E92" s="41" t="s">
        <v>18</v>
      </c>
      <c r="G92" t="b">
        <f t="shared" si="1"/>
        <v>1</v>
      </c>
    </row>
    <row r="93" spans="1:7" x14ac:dyDescent="0.2">
      <c r="A93" s="55" t="s">
        <v>165</v>
      </c>
      <c r="B93" s="57">
        <v>1</v>
      </c>
      <c r="C93" s="57" t="s">
        <v>349</v>
      </c>
      <c r="D93" s="41" t="s">
        <v>165</v>
      </c>
      <c r="E93" s="41" t="s">
        <v>39</v>
      </c>
      <c r="G93" t="b">
        <f t="shared" si="1"/>
        <v>1</v>
      </c>
    </row>
    <row r="94" spans="1:7" x14ac:dyDescent="0.2">
      <c r="A94" s="55" t="s">
        <v>166</v>
      </c>
      <c r="B94" s="57">
        <v>1</v>
      </c>
      <c r="C94" s="57" t="s">
        <v>349</v>
      </c>
      <c r="D94" s="41" t="s">
        <v>166</v>
      </c>
      <c r="E94" s="41" t="s">
        <v>18</v>
      </c>
      <c r="G94" t="b">
        <f t="shared" si="1"/>
        <v>1</v>
      </c>
    </row>
    <row r="95" spans="1:7" x14ac:dyDescent="0.2">
      <c r="A95" s="55" t="s">
        <v>167</v>
      </c>
      <c r="B95" s="57">
        <v>1</v>
      </c>
      <c r="C95" s="57" t="s">
        <v>350</v>
      </c>
      <c r="D95" s="41" t="s">
        <v>167</v>
      </c>
      <c r="E95" s="41" t="s">
        <v>18</v>
      </c>
      <c r="G95" t="b">
        <f t="shared" si="1"/>
        <v>1</v>
      </c>
    </row>
    <row r="96" spans="1:7" x14ac:dyDescent="0.2">
      <c r="A96" s="55" t="s">
        <v>168</v>
      </c>
      <c r="B96" s="57">
        <v>1</v>
      </c>
      <c r="C96" s="57" t="s">
        <v>353</v>
      </c>
      <c r="D96" s="41" t="s">
        <v>168</v>
      </c>
      <c r="E96" s="41" t="s">
        <v>116</v>
      </c>
      <c r="G96" t="b">
        <f t="shared" si="1"/>
        <v>1</v>
      </c>
    </row>
    <row r="97" spans="1:7" x14ac:dyDescent="0.2">
      <c r="A97" s="55" t="s">
        <v>169</v>
      </c>
      <c r="B97" s="57">
        <v>1</v>
      </c>
      <c r="C97" s="57" t="s">
        <v>349</v>
      </c>
      <c r="D97" s="41" t="s">
        <v>169</v>
      </c>
      <c r="E97" s="41" t="s">
        <v>18</v>
      </c>
      <c r="G97" t="b">
        <f t="shared" si="1"/>
        <v>1</v>
      </c>
    </row>
    <row r="98" spans="1:7" x14ac:dyDescent="0.2">
      <c r="A98" s="55" t="s">
        <v>170</v>
      </c>
      <c r="B98" s="57">
        <v>1</v>
      </c>
      <c r="C98" s="57" t="s">
        <v>351</v>
      </c>
      <c r="D98" s="41" t="s">
        <v>170</v>
      </c>
      <c r="E98" s="41" t="s">
        <v>18</v>
      </c>
      <c r="G98" t="b">
        <f t="shared" si="1"/>
        <v>1</v>
      </c>
    </row>
    <row r="99" spans="1:7" x14ac:dyDescent="0.2">
      <c r="A99" s="55" t="s">
        <v>171</v>
      </c>
      <c r="B99" s="57">
        <v>1</v>
      </c>
      <c r="C99" s="57" t="s">
        <v>353</v>
      </c>
      <c r="D99" s="41" t="s">
        <v>171</v>
      </c>
      <c r="E99" s="41" t="s">
        <v>39</v>
      </c>
      <c r="G99" t="b">
        <f t="shared" si="1"/>
        <v>1</v>
      </c>
    </row>
    <row r="100" spans="1:7" x14ac:dyDescent="0.2">
      <c r="A100" s="55" t="s">
        <v>172</v>
      </c>
      <c r="B100" s="57">
        <v>1</v>
      </c>
      <c r="C100" s="57" t="s">
        <v>353</v>
      </c>
      <c r="D100" s="41" t="s">
        <v>172</v>
      </c>
      <c r="E100" s="41" t="s">
        <v>18</v>
      </c>
      <c r="G100" t="b">
        <f t="shared" si="1"/>
        <v>1</v>
      </c>
    </row>
    <row r="101" spans="1:7" x14ac:dyDescent="0.2">
      <c r="A101" s="55" t="s">
        <v>173</v>
      </c>
      <c r="B101" s="57">
        <v>1</v>
      </c>
      <c r="C101" s="57" t="s">
        <v>353</v>
      </c>
      <c r="D101" s="41" t="s">
        <v>173</v>
      </c>
      <c r="E101" s="41" t="s">
        <v>163</v>
      </c>
      <c r="G101" t="b">
        <f t="shared" si="1"/>
        <v>1</v>
      </c>
    </row>
    <row r="102" spans="1:7" x14ac:dyDescent="0.2">
      <c r="A102" s="55" t="s">
        <v>174</v>
      </c>
      <c r="B102" s="57">
        <v>1</v>
      </c>
      <c r="C102" s="57" t="s">
        <v>353</v>
      </c>
      <c r="D102" s="41" t="s">
        <v>174</v>
      </c>
      <c r="E102" s="41" t="s">
        <v>163</v>
      </c>
      <c r="G102" t="b">
        <f t="shared" si="1"/>
        <v>1</v>
      </c>
    </row>
    <row r="103" spans="1:7" x14ac:dyDescent="0.2">
      <c r="A103" s="55" t="s">
        <v>175</v>
      </c>
      <c r="B103" s="57">
        <v>1</v>
      </c>
      <c r="C103" s="57" t="s">
        <v>353</v>
      </c>
      <c r="D103" s="41" t="s">
        <v>175</v>
      </c>
      <c r="E103" s="41" t="s">
        <v>163</v>
      </c>
      <c r="G103" t="b">
        <f t="shared" si="1"/>
        <v>1</v>
      </c>
    </row>
    <row r="104" spans="1:7" x14ac:dyDescent="0.2">
      <c r="A104" s="55" t="s">
        <v>176</v>
      </c>
      <c r="B104" s="57">
        <v>1</v>
      </c>
      <c r="C104" s="57" t="s">
        <v>353</v>
      </c>
      <c r="D104" s="41" t="s">
        <v>176</v>
      </c>
      <c r="E104" s="41" t="s">
        <v>116</v>
      </c>
      <c r="G104" t="b">
        <f t="shared" si="1"/>
        <v>1</v>
      </c>
    </row>
    <row r="105" spans="1:7" x14ac:dyDescent="0.2">
      <c r="A105" s="55" t="s">
        <v>178</v>
      </c>
      <c r="B105" s="57">
        <v>1</v>
      </c>
      <c r="C105" s="57" t="s">
        <v>353</v>
      </c>
      <c r="D105" s="41" t="s">
        <v>178</v>
      </c>
      <c r="E105" s="41" t="s">
        <v>116</v>
      </c>
      <c r="G105" t="b">
        <f t="shared" si="1"/>
        <v>1</v>
      </c>
    </row>
    <row r="106" spans="1:7" x14ac:dyDescent="0.2">
      <c r="A106" s="55" t="s">
        <v>179</v>
      </c>
      <c r="B106" s="57">
        <v>1</v>
      </c>
      <c r="C106" s="57" t="s">
        <v>353</v>
      </c>
      <c r="D106" s="41" t="s">
        <v>179</v>
      </c>
      <c r="E106" s="41" t="s">
        <v>116</v>
      </c>
      <c r="G106" t="b">
        <f t="shared" si="1"/>
        <v>1</v>
      </c>
    </row>
    <row r="107" spans="1:7" x14ac:dyDescent="0.2">
      <c r="A107" s="55" t="s">
        <v>180</v>
      </c>
      <c r="B107" s="57">
        <v>1</v>
      </c>
      <c r="C107" s="57" t="s">
        <v>352</v>
      </c>
      <c r="D107" s="41" t="s">
        <v>180</v>
      </c>
      <c r="E107" s="41" t="s">
        <v>116</v>
      </c>
      <c r="G107" t="b">
        <f t="shared" si="1"/>
        <v>1</v>
      </c>
    </row>
    <row r="108" spans="1:7" x14ac:dyDescent="0.2">
      <c r="A108" s="55" t="s">
        <v>183</v>
      </c>
      <c r="B108" s="57">
        <v>1</v>
      </c>
      <c r="C108" s="57" t="s">
        <v>353</v>
      </c>
      <c r="D108" s="41" t="s">
        <v>183</v>
      </c>
      <c r="E108" s="41" t="s">
        <v>116</v>
      </c>
      <c r="G108" t="b">
        <f t="shared" si="1"/>
        <v>1</v>
      </c>
    </row>
    <row r="109" spans="1:7" x14ac:dyDescent="0.2">
      <c r="A109" s="55" t="s">
        <v>184</v>
      </c>
      <c r="B109" s="57">
        <v>1</v>
      </c>
      <c r="C109" s="57" t="s">
        <v>353</v>
      </c>
      <c r="D109" s="41" t="s">
        <v>184</v>
      </c>
      <c r="E109" s="41" t="s">
        <v>18</v>
      </c>
      <c r="G109" t="b">
        <f t="shared" si="1"/>
        <v>1</v>
      </c>
    </row>
    <row r="110" spans="1:7" x14ac:dyDescent="0.2">
      <c r="A110" s="55" t="s">
        <v>186</v>
      </c>
      <c r="B110" s="57">
        <v>1</v>
      </c>
      <c r="C110" s="57" t="s">
        <v>353</v>
      </c>
      <c r="D110" s="41" t="s">
        <v>186</v>
      </c>
      <c r="E110" s="41" t="s">
        <v>18</v>
      </c>
      <c r="G110" t="b">
        <f t="shared" si="1"/>
        <v>1</v>
      </c>
    </row>
    <row r="111" spans="1:7" x14ac:dyDescent="0.2">
      <c r="A111" s="55" t="s">
        <v>187</v>
      </c>
      <c r="B111" s="57">
        <v>1</v>
      </c>
      <c r="C111" s="57" t="s">
        <v>353</v>
      </c>
      <c r="D111" s="41" t="s">
        <v>187</v>
      </c>
      <c r="E111" s="41" t="s">
        <v>18</v>
      </c>
      <c r="G111" t="b">
        <f t="shared" si="1"/>
        <v>1</v>
      </c>
    </row>
    <row r="112" spans="1:7" x14ac:dyDescent="0.2">
      <c r="A112" s="55" t="s">
        <v>188</v>
      </c>
      <c r="B112" s="57">
        <v>1</v>
      </c>
      <c r="C112" s="57" t="s">
        <v>353</v>
      </c>
      <c r="D112" s="41" t="s">
        <v>188</v>
      </c>
      <c r="E112" s="41" t="s">
        <v>116</v>
      </c>
      <c r="G112" t="b">
        <f t="shared" si="1"/>
        <v>1</v>
      </c>
    </row>
    <row r="113" spans="1:7" x14ac:dyDescent="0.2">
      <c r="A113" s="55" t="s">
        <v>189</v>
      </c>
      <c r="B113" s="57">
        <v>1</v>
      </c>
      <c r="C113" s="57" t="s">
        <v>353</v>
      </c>
      <c r="D113" s="41" t="s">
        <v>189</v>
      </c>
      <c r="E113" s="41" t="s">
        <v>116</v>
      </c>
      <c r="G113" t="b">
        <f t="shared" si="1"/>
        <v>1</v>
      </c>
    </row>
    <row r="114" spans="1:7" x14ac:dyDescent="0.2">
      <c r="A114" s="55" t="s">
        <v>190</v>
      </c>
      <c r="B114" s="57">
        <v>1</v>
      </c>
      <c r="C114" s="57" t="s">
        <v>353</v>
      </c>
      <c r="D114" s="41" t="s">
        <v>190</v>
      </c>
      <c r="E114" s="41" t="s">
        <v>116</v>
      </c>
      <c r="G114" t="b">
        <f t="shared" si="1"/>
        <v>1</v>
      </c>
    </row>
    <row r="115" spans="1:7" x14ac:dyDescent="0.2">
      <c r="A115" s="55" t="s">
        <v>191</v>
      </c>
      <c r="B115" s="57">
        <v>1</v>
      </c>
      <c r="C115" s="57" t="s">
        <v>353</v>
      </c>
      <c r="D115" s="41" t="s">
        <v>191</v>
      </c>
      <c r="E115" s="41" t="s">
        <v>116</v>
      </c>
      <c r="G115" t="b">
        <f t="shared" si="1"/>
        <v>1</v>
      </c>
    </row>
    <row r="116" spans="1:7" x14ac:dyDescent="0.2">
      <c r="A116" s="55" t="s">
        <v>192</v>
      </c>
      <c r="B116" s="57">
        <v>1</v>
      </c>
      <c r="C116" s="57" t="s">
        <v>353</v>
      </c>
      <c r="D116" s="41" t="s">
        <v>192</v>
      </c>
      <c r="E116" s="41" t="s">
        <v>116</v>
      </c>
      <c r="G116" t="b">
        <f t="shared" si="1"/>
        <v>1</v>
      </c>
    </row>
    <row r="117" spans="1:7" x14ac:dyDescent="0.2">
      <c r="A117" s="55" t="s">
        <v>193</v>
      </c>
      <c r="B117" s="57">
        <v>1</v>
      </c>
      <c r="C117" s="57" t="s">
        <v>349</v>
      </c>
      <c r="D117" s="41" t="s">
        <v>193</v>
      </c>
      <c r="E117" s="41" t="s">
        <v>116</v>
      </c>
      <c r="G117" t="b">
        <f t="shared" si="1"/>
        <v>1</v>
      </c>
    </row>
    <row r="118" spans="1:7" x14ac:dyDescent="0.2">
      <c r="A118" s="55" t="s">
        <v>194</v>
      </c>
      <c r="B118" s="57">
        <v>1</v>
      </c>
      <c r="C118" s="57" t="s">
        <v>353</v>
      </c>
      <c r="D118" s="41" t="s">
        <v>194</v>
      </c>
      <c r="E118" s="41" t="s">
        <v>144</v>
      </c>
      <c r="G118" t="b">
        <f t="shared" si="1"/>
        <v>1</v>
      </c>
    </row>
    <row r="119" spans="1:7" x14ac:dyDescent="0.2">
      <c r="A119" s="55" t="s">
        <v>195</v>
      </c>
      <c r="B119" s="57">
        <v>1</v>
      </c>
      <c r="C119" s="57" t="s">
        <v>353</v>
      </c>
      <c r="D119" s="47" t="s">
        <v>195</v>
      </c>
      <c r="E119" s="47" t="s">
        <v>144</v>
      </c>
      <c r="G119" t="b">
        <f t="shared" si="1"/>
        <v>1</v>
      </c>
    </row>
    <row r="120" spans="1:7" x14ac:dyDescent="0.2">
      <c r="A120" s="55" t="s">
        <v>196</v>
      </c>
      <c r="B120" s="57">
        <v>1</v>
      </c>
      <c r="C120" s="57" t="s">
        <v>352</v>
      </c>
      <c r="D120" s="13" t="s">
        <v>196</v>
      </c>
      <c r="E120" s="13" t="s">
        <v>144</v>
      </c>
      <c r="G120" t="b">
        <f t="shared" si="1"/>
        <v>1</v>
      </c>
    </row>
    <row r="121" spans="1:7" x14ac:dyDescent="0.2">
      <c r="A121" s="55" t="s">
        <v>198</v>
      </c>
      <c r="B121" s="57">
        <v>1</v>
      </c>
      <c r="C121" s="57" t="s">
        <v>353</v>
      </c>
      <c r="D121" s="13" t="s">
        <v>198</v>
      </c>
      <c r="E121" s="13" t="s">
        <v>144</v>
      </c>
      <c r="G121" t="b">
        <f t="shared" si="1"/>
        <v>1</v>
      </c>
    </row>
    <row r="122" spans="1:7" x14ac:dyDescent="0.2">
      <c r="A122" s="55" t="s">
        <v>200</v>
      </c>
      <c r="B122" s="57">
        <v>1</v>
      </c>
      <c r="C122" s="57" t="s">
        <v>353</v>
      </c>
      <c r="D122" s="13" t="s">
        <v>200</v>
      </c>
      <c r="E122" s="13" t="s">
        <v>144</v>
      </c>
      <c r="G122" t="b">
        <f t="shared" si="1"/>
        <v>1</v>
      </c>
    </row>
    <row r="123" spans="1:7" x14ac:dyDescent="0.2">
      <c r="A123" s="55" t="s">
        <v>201</v>
      </c>
      <c r="B123" s="57">
        <v>1</v>
      </c>
      <c r="C123" s="57" t="s">
        <v>353</v>
      </c>
      <c r="D123" s="13" t="s">
        <v>201</v>
      </c>
      <c r="E123" s="13" t="s">
        <v>144</v>
      </c>
      <c r="G123" t="b">
        <f t="shared" si="1"/>
        <v>1</v>
      </c>
    </row>
    <row r="124" spans="1:7" x14ac:dyDescent="0.2">
      <c r="A124" s="55" t="s">
        <v>203</v>
      </c>
      <c r="B124" s="57">
        <v>1</v>
      </c>
      <c r="C124" s="57" t="s">
        <v>352</v>
      </c>
      <c r="D124" s="13" t="s">
        <v>203</v>
      </c>
      <c r="E124" s="13" t="s">
        <v>144</v>
      </c>
      <c r="G124" t="b">
        <f t="shared" si="1"/>
        <v>1</v>
      </c>
    </row>
    <row r="125" spans="1:7" x14ac:dyDescent="0.2">
      <c r="A125" s="55" t="s">
        <v>205</v>
      </c>
      <c r="B125" s="57">
        <v>1</v>
      </c>
      <c r="C125" s="57" t="s">
        <v>353</v>
      </c>
      <c r="D125" s="13" t="s">
        <v>205</v>
      </c>
      <c r="E125" s="13" t="s">
        <v>144</v>
      </c>
      <c r="G125" t="b">
        <f t="shared" si="1"/>
        <v>1</v>
      </c>
    </row>
    <row r="126" spans="1:7" x14ac:dyDescent="0.2">
      <c r="A126" s="55" t="s">
        <v>206</v>
      </c>
      <c r="B126" s="57">
        <v>1</v>
      </c>
      <c r="C126" s="57" t="s">
        <v>353</v>
      </c>
      <c r="D126" s="13" t="s">
        <v>206</v>
      </c>
      <c r="E126" s="13" t="s">
        <v>144</v>
      </c>
      <c r="G126" t="b">
        <f t="shared" si="1"/>
        <v>1</v>
      </c>
    </row>
    <row r="127" spans="1:7" x14ac:dyDescent="0.2">
      <c r="A127" s="55" t="s">
        <v>207</v>
      </c>
      <c r="B127" s="57">
        <v>1</v>
      </c>
      <c r="C127" s="57" t="s">
        <v>352</v>
      </c>
      <c r="D127" s="13" t="s">
        <v>207</v>
      </c>
      <c r="E127" s="13" t="s">
        <v>144</v>
      </c>
      <c r="G127" t="b">
        <f t="shared" si="1"/>
        <v>1</v>
      </c>
    </row>
    <row r="128" spans="1:7" x14ac:dyDescent="0.2">
      <c r="A128" s="55" t="s">
        <v>209</v>
      </c>
      <c r="B128" s="57">
        <v>1</v>
      </c>
      <c r="C128" s="57" t="s">
        <v>353</v>
      </c>
      <c r="D128" s="13" t="s">
        <v>209</v>
      </c>
      <c r="E128" s="13" t="s">
        <v>144</v>
      </c>
      <c r="G128" t="b">
        <f t="shared" si="1"/>
        <v>1</v>
      </c>
    </row>
    <row r="129" spans="1:7" x14ac:dyDescent="0.2">
      <c r="A129" s="55" t="s">
        <v>210</v>
      </c>
      <c r="B129" s="57">
        <v>1</v>
      </c>
      <c r="C129" s="57" t="s">
        <v>353</v>
      </c>
      <c r="D129" s="13" t="s">
        <v>210</v>
      </c>
      <c r="E129" s="13" t="s">
        <v>144</v>
      </c>
      <c r="G129" t="b">
        <f t="shared" si="1"/>
        <v>1</v>
      </c>
    </row>
    <row r="130" spans="1:7" x14ac:dyDescent="0.2">
      <c r="A130" s="55" t="s">
        <v>211</v>
      </c>
      <c r="B130" s="57">
        <v>1</v>
      </c>
      <c r="C130" s="57" t="s">
        <v>349</v>
      </c>
      <c r="D130" s="13" t="s">
        <v>211</v>
      </c>
      <c r="E130" s="13" t="s">
        <v>144</v>
      </c>
      <c r="G130" t="b">
        <f t="shared" si="1"/>
        <v>1</v>
      </c>
    </row>
    <row r="131" spans="1:7" x14ac:dyDescent="0.2">
      <c r="A131" s="55" t="s">
        <v>212</v>
      </c>
      <c r="B131" s="57">
        <v>1</v>
      </c>
      <c r="C131" s="57" t="s">
        <v>349</v>
      </c>
      <c r="D131" s="13" t="s">
        <v>212</v>
      </c>
      <c r="E131" s="13" t="s">
        <v>144</v>
      </c>
      <c r="G131" t="b">
        <f t="shared" ref="G131:G194" si="2">EXACT(A131,D131)</f>
        <v>1</v>
      </c>
    </row>
    <row r="132" spans="1:7" x14ac:dyDescent="0.2">
      <c r="A132" s="55" t="s">
        <v>213</v>
      </c>
      <c r="B132" s="57">
        <v>1</v>
      </c>
      <c r="C132" s="57" t="s">
        <v>350</v>
      </c>
      <c r="D132" s="13" t="s">
        <v>213</v>
      </c>
      <c r="E132" s="13" t="s">
        <v>144</v>
      </c>
      <c r="G132" t="b">
        <f t="shared" si="2"/>
        <v>1</v>
      </c>
    </row>
    <row r="133" spans="1:7" x14ac:dyDescent="0.2">
      <c r="A133" s="55" t="s">
        <v>215</v>
      </c>
      <c r="B133" s="57">
        <v>1</v>
      </c>
      <c r="C133" s="57" t="s">
        <v>349</v>
      </c>
      <c r="D133" s="13" t="s">
        <v>215</v>
      </c>
      <c r="E133" s="13" t="s">
        <v>144</v>
      </c>
      <c r="G133" t="b">
        <f t="shared" si="2"/>
        <v>1</v>
      </c>
    </row>
    <row r="134" spans="1:7" x14ac:dyDescent="0.2">
      <c r="A134" s="55" t="s">
        <v>216</v>
      </c>
      <c r="B134" s="57">
        <v>1</v>
      </c>
      <c r="C134" s="57" t="s">
        <v>350</v>
      </c>
      <c r="D134" s="13" t="s">
        <v>216</v>
      </c>
      <c r="E134" s="13" t="s">
        <v>144</v>
      </c>
      <c r="G134" t="b">
        <f t="shared" si="2"/>
        <v>1</v>
      </c>
    </row>
    <row r="135" spans="1:7" x14ac:dyDescent="0.2">
      <c r="A135" s="55" t="s">
        <v>217</v>
      </c>
      <c r="B135" s="57">
        <v>1</v>
      </c>
      <c r="C135" s="57" t="s">
        <v>353</v>
      </c>
      <c r="D135" s="13" t="s">
        <v>217</v>
      </c>
      <c r="E135" s="13" t="s">
        <v>144</v>
      </c>
      <c r="G135" t="b">
        <f t="shared" si="2"/>
        <v>1</v>
      </c>
    </row>
    <row r="136" spans="1:7" x14ac:dyDescent="0.2">
      <c r="A136" s="55" t="s">
        <v>218</v>
      </c>
      <c r="B136" s="57">
        <v>1</v>
      </c>
      <c r="C136" s="57" t="s">
        <v>353</v>
      </c>
      <c r="D136" s="13" t="s">
        <v>218</v>
      </c>
      <c r="E136" s="13" t="s">
        <v>144</v>
      </c>
      <c r="G136" t="b">
        <f t="shared" si="2"/>
        <v>1</v>
      </c>
    </row>
    <row r="137" spans="1:7" x14ac:dyDescent="0.2">
      <c r="A137" s="55" t="s">
        <v>220</v>
      </c>
      <c r="B137" s="57">
        <v>1</v>
      </c>
      <c r="C137" s="57" t="s">
        <v>349</v>
      </c>
      <c r="D137" s="13" t="s">
        <v>220</v>
      </c>
      <c r="E137" s="13" t="s">
        <v>18</v>
      </c>
      <c r="G137" t="b">
        <f t="shared" si="2"/>
        <v>1</v>
      </c>
    </row>
    <row r="138" spans="1:7" x14ac:dyDescent="0.2">
      <c r="A138" s="55" t="s">
        <v>221</v>
      </c>
      <c r="B138" s="57">
        <v>1</v>
      </c>
      <c r="C138" s="57" t="s">
        <v>350</v>
      </c>
      <c r="D138" s="13" t="s">
        <v>221</v>
      </c>
      <c r="E138" s="13" t="s">
        <v>18</v>
      </c>
      <c r="G138" t="b">
        <f t="shared" si="2"/>
        <v>1</v>
      </c>
    </row>
    <row r="139" spans="1:7" x14ac:dyDescent="0.2">
      <c r="A139" s="55" t="s">
        <v>222</v>
      </c>
      <c r="B139" s="57">
        <v>1</v>
      </c>
      <c r="C139" s="57" t="s">
        <v>349</v>
      </c>
      <c r="D139" s="13" t="s">
        <v>222</v>
      </c>
      <c r="E139" s="13" t="s">
        <v>18</v>
      </c>
      <c r="G139" t="b">
        <f t="shared" si="2"/>
        <v>1</v>
      </c>
    </row>
    <row r="140" spans="1:7" x14ac:dyDescent="0.2">
      <c r="A140" s="55" t="s">
        <v>223</v>
      </c>
      <c r="B140" s="57">
        <v>1</v>
      </c>
      <c r="C140" s="57" t="s">
        <v>350</v>
      </c>
      <c r="D140" s="13" t="s">
        <v>223</v>
      </c>
      <c r="E140" s="13" t="s">
        <v>18</v>
      </c>
      <c r="G140" t="b">
        <f t="shared" si="2"/>
        <v>1</v>
      </c>
    </row>
    <row r="141" spans="1:7" x14ac:dyDescent="0.2">
      <c r="A141" s="55" t="s">
        <v>225</v>
      </c>
      <c r="B141" s="57">
        <v>1</v>
      </c>
      <c r="C141" s="57" t="s">
        <v>349</v>
      </c>
      <c r="D141" s="13" t="s">
        <v>225</v>
      </c>
      <c r="E141" s="13" t="s">
        <v>18</v>
      </c>
      <c r="G141" t="b">
        <f t="shared" si="2"/>
        <v>1</v>
      </c>
    </row>
    <row r="142" spans="1:7" x14ac:dyDescent="0.2">
      <c r="A142" s="55" t="s">
        <v>226</v>
      </c>
      <c r="B142" s="57">
        <v>1</v>
      </c>
      <c r="C142" s="57" t="s">
        <v>350</v>
      </c>
      <c r="D142" s="13" t="s">
        <v>226</v>
      </c>
      <c r="E142" s="13" t="s">
        <v>18</v>
      </c>
      <c r="G142" t="b">
        <f t="shared" si="2"/>
        <v>1</v>
      </c>
    </row>
    <row r="143" spans="1:7" x14ac:dyDescent="0.2">
      <c r="A143" s="55" t="s">
        <v>227</v>
      </c>
      <c r="B143" s="57">
        <v>1</v>
      </c>
      <c r="C143" s="57" t="s">
        <v>353</v>
      </c>
      <c r="D143" s="13" t="s">
        <v>227</v>
      </c>
      <c r="E143" s="13" t="s">
        <v>116</v>
      </c>
      <c r="G143" t="b">
        <f t="shared" si="2"/>
        <v>1</v>
      </c>
    </row>
    <row r="144" spans="1:7" x14ac:dyDescent="0.2">
      <c r="A144" s="55" t="s">
        <v>228</v>
      </c>
      <c r="B144" s="57">
        <v>1</v>
      </c>
      <c r="C144" s="57" t="s">
        <v>349</v>
      </c>
      <c r="D144" s="13" t="s">
        <v>228</v>
      </c>
      <c r="E144" s="13" t="s">
        <v>18</v>
      </c>
      <c r="G144" t="b">
        <f t="shared" si="2"/>
        <v>1</v>
      </c>
    </row>
    <row r="145" spans="1:7" x14ac:dyDescent="0.2">
      <c r="A145" s="55" t="s">
        <v>229</v>
      </c>
      <c r="B145" s="57">
        <v>1</v>
      </c>
      <c r="C145" s="57" t="s">
        <v>353</v>
      </c>
      <c r="D145" s="13" t="s">
        <v>229</v>
      </c>
      <c r="E145" s="13" t="s">
        <v>144</v>
      </c>
      <c r="G145" t="b">
        <f t="shared" si="2"/>
        <v>1</v>
      </c>
    </row>
    <row r="146" spans="1:7" x14ac:dyDescent="0.2">
      <c r="A146" s="55" t="s">
        <v>230</v>
      </c>
      <c r="B146" s="57">
        <v>1</v>
      </c>
      <c r="C146" s="57" t="s">
        <v>352</v>
      </c>
      <c r="D146" s="13" t="s">
        <v>230</v>
      </c>
      <c r="E146" s="13" t="s">
        <v>144</v>
      </c>
      <c r="G146" t="b">
        <f t="shared" si="2"/>
        <v>1</v>
      </c>
    </row>
    <row r="147" spans="1:7" x14ac:dyDescent="0.2">
      <c r="A147" s="55" t="s">
        <v>231</v>
      </c>
      <c r="B147" s="57">
        <v>1</v>
      </c>
      <c r="C147" s="57" t="s">
        <v>349</v>
      </c>
      <c r="D147" s="13" t="s">
        <v>231</v>
      </c>
      <c r="E147" s="13" t="s">
        <v>144</v>
      </c>
      <c r="G147" t="b">
        <f t="shared" si="2"/>
        <v>1</v>
      </c>
    </row>
    <row r="148" spans="1:7" x14ac:dyDescent="0.2">
      <c r="A148" s="55" t="s">
        <v>232</v>
      </c>
      <c r="B148" s="57">
        <v>1</v>
      </c>
      <c r="C148" s="57" t="s">
        <v>350</v>
      </c>
      <c r="D148" s="13" t="s">
        <v>232</v>
      </c>
      <c r="E148" s="13" t="s">
        <v>144</v>
      </c>
      <c r="G148" t="b">
        <f t="shared" si="2"/>
        <v>1</v>
      </c>
    </row>
    <row r="149" spans="1:7" x14ac:dyDescent="0.2">
      <c r="A149" s="55" t="s">
        <v>233</v>
      </c>
      <c r="B149" s="57">
        <v>1</v>
      </c>
      <c r="C149" s="57" t="s">
        <v>349</v>
      </c>
      <c r="D149" s="13" t="s">
        <v>233</v>
      </c>
      <c r="E149" s="13" t="s">
        <v>144</v>
      </c>
      <c r="G149" t="b">
        <f t="shared" si="2"/>
        <v>1</v>
      </c>
    </row>
    <row r="150" spans="1:7" x14ac:dyDescent="0.2">
      <c r="A150" s="55" t="s">
        <v>234</v>
      </c>
      <c r="B150" s="57">
        <v>1</v>
      </c>
      <c r="C150" s="57" t="s">
        <v>350</v>
      </c>
      <c r="D150" s="13" t="s">
        <v>234</v>
      </c>
      <c r="E150" s="13" t="s">
        <v>144</v>
      </c>
      <c r="G150" t="b">
        <f t="shared" si="2"/>
        <v>1</v>
      </c>
    </row>
    <row r="151" spans="1:7" x14ac:dyDescent="0.2">
      <c r="A151" s="55" t="s">
        <v>235</v>
      </c>
      <c r="B151" s="57">
        <v>1</v>
      </c>
      <c r="C151" s="57" t="s">
        <v>349</v>
      </c>
      <c r="D151" s="13" t="s">
        <v>235</v>
      </c>
      <c r="E151" s="13" t="s">
        <v>18</v>
      </c>
      <c r="G151" t="b">
        <f t="shared" si="2"/>
        <v>1</v>
      </c>
    </row>
    <row r="152" spans="1:7" x14ac:dyDescent="0.2">
      <c r="A152" s="55" t="s">
        <v>237</v>
      </c>
      <c r="B152" s="57">
        <v>1</v>
      </c>
      <c r="C152" s="57" t="s">
        <v>350</v>
      </c>
      <c r="D152" s="13" t="s">
        <v>237</v>
      </c>
      <c r="E152" s="13" t="s">
        <v>18</v>
      </c>
      <c r="G152" t="b">
        <f t="shared" si="2"/>
        <v>1</v>
      </c>
    </row>
    <row r="153" spans="1:7" x14ac:dyDescent="0.2">
      <c r="A153" s="55" t="s">
        <v>238</v>
      </c>
      <c r="B153" s="57">
        <v>1</v>
      </c>
      <c r="C153" s="57" t="s">
        <v>353</v>
      </c>
      <c r="D153" s="13" t="s">
        <v>238</v>
      </c>
      <c r="E153" s="13" t="s">
        <v>116</v>
      </c>
      <c r="G153" t="b">
        <f t="shared" si="2"/>
        <v>1</v>
      </c>
    </row>
    <row r="154" spans="1:7" x14ac:dyDescent="0.2">
      <c r="A154" s="55" t="s">
        <v>239</v>
      </c>
      <c r="B154" s="57">
        <v>1</v>
      </c>
      <c r="C154" s="57" t="s">
        <v>352</v>
      </c>
      <c r="D154" s="13" t="s">
        <v>239</v>
      </c>
      <c r="E154" s="13" t="s">
        <v>116</v>
      </c>
      <c r="G154" t="b">
        <f t="shared" si="2"/>
        <v>1</v>
      </c>
    </row>
    <row r="155" spans="1:7" x14ac:dyDescent="0.2">
      <c r="A155" s="55" t="s">
        <v>240</v>
      </c>
      <c r="B155" s="57">
        <v>1</v>
      </c>
      <c r="C155" s="57" t="s">
        <v>353</v>
      </c>
      <c r="D155" s="13" t="s">
        <v>240</v>
      </c>
      <c r="E155" s="13" t="s">
        <v>116</v>
      </c>
      <c r="G155" t="b">
        <f t="shared" si="2"/>
        <v>1</v>
      </c>
    </row>
    <row r="156" spans="1:7" x14ac:dyDescent="0.2">
      <c r="A156" s="55" t="s">
        <v>241</v>
      </c>
      <c r="B156" s="57">
        <v>1</v>
      </c>
      <c r="C156" s="57" t="s">
        <v>352</v>
      </c>
      <c r="D156" s="13" t="s">
        <v>241</v>
      </c>
      <c r="E156" s="13" t="s">
        <v>116</v>
      </c>
      <c r="G156" t="b">
        <f t="shared" si="2"/>
        <v>1</v>
      </c>
    </row>
    <row r="157" spans="1:7" x14ac:dyDescent="0.2">
      <c r="A157" s="55" t="s">
        <v>242</v>
      </c>
      <c r="B157" s="57">
        <v>1</v>
      </c>
      <c r="C157" s="57" t="s">
        <v>349</v>
      </c>
      <c r="D157" s="13" t="s">
        <v>242</v>
      </c>
      <c r="E157" s="13" t="s">
        <v>243</v>
      </c>
      <c r="G157" t="b">
        <f t="shared" si="2"/>
        <v>1</v>
      </c>
    </row>
    <row r="158" spans="1:7" x14ac:dyDescent="0.2">
      <c r="A158" s="55" t="s">
        <v>245</v>
      </c>
      <c r="B158" s="57">
        <v>1</v>
      </c>
      <c r="C158" s="57" t="s">
        <v>350</v>
      </c>
      <c r="D158" s="13" t="s">
        <v>245</v>
      </c>
      <c r="E158" s="13" t="s">
        <v>116</v>
      </c>
      <c r="G158" t="b">
        <f t="shared" si="2"/>
        <v>1</v>
      </c>
    </row>
    <row r="159" spans="1:7" x14ac:dyDescent="0.2">
      <c r="A159" s="55" t="s">
        <v>247</v>
      </c>
      <c r="B159" s="57">
        <v>1</v>
      </c>
      <c r="C159" s="57" t="s">
        <v>349</v>
      </c>
      <c r="D159" s="41" t="s">
        <v>247</v>
      </c>
      <c r="E159" s="41" t="s">
        <v>18</v>
      </c>
      <c r="G159" t="b">
        <f t="shared" si="2"/>
        <v>1</v>
      </c>
    </row>
    <row r="160" spans="1:7" x14ac:dyDescent="0.2">
      <c r="A160" s="55" t="s">
        <v>248</v>
      </c>
      <c r="B160" s="57">
        <v>1</v>
      </c>
      <c r="C160" s="57" t="s">
        <v>349</v>
      </c>
      <c r="D160" s="13" t="s">
        <v>248</v>
      </c>
      <c r="E160" s="13" t="s">
        <v>18</v>
      </c>
      <c r="G160" t="b">
        <f t="shared" si="2"/>
        <v>1</v>
      </c>
    </row>
    <row r="161" spans="1:7" x14ac:dyDescent="0.2">
      <c r="A161" s="55" t="s">
        <v>249</v>
      </c>
      <c r="B161" s="57">
        <v>1</v>
      </c>
      <c r="C161" s="57" t="s">
        <v>349</v>
      </c>
      <c r="D161" s="13" t="s">
        <v>249</v>
      </c>
      <c r="E161" s="13" t="s">
        <v>18</v>
      </c>
      <c r="G161" t="b">
        <f t="shared" si="2"/>
        <v>1</v>
      </c>
    </row>
    <row r="162" spans="1:7" x14ac:dyDescent="0.2">
      <c r="A162" s="55" t="s">
        <v>250</v>
      </c>
      <c r="B162" s="57">
        <v>1</v>
      </c>
      <c r="C162" s="57" t="s">
        <v>350</v>
      </c>
      <c r="D162" s="13" t="s">
        <v>250</v>
      </c>
      <c r="E162" s="13" t="s">
        <v>18</v>
      </c>
      <c r="G162" t="b">
        <f t="shared" si="2"/>
        <v>1</v>
      </c>
    </row>
    <row r="163" spans="1:7" x14ac:dyDescent="0.2">
      <c r="A163" s="55" t="s">
        <v>251</v>
      </c>
      <c r="B163" s="57">
        <v>1</v>
      </c>
      <c r="C163" s="57" t="s">
        <v>353</v>
      </c>
      <c r="D163" s="13" t="s">
        <v>251</v>
      </c>
      <c r="E163" s="13" t="s">
        <v>116</v>
      </c>
      <c r="G163" t="b">
        <f t="shared" si="2"/>
        <v>1</v>
      </c>
    </row>
    <row r="164" spans="1:7" x14ac:dyDescent="0.2">
      <c r="A164" s="55" t="s">
        <v>252</v>
      </c>
      <c r="B164" s="57">
        <v>1</v>
      </c>
      <c r="C164" s="57" t="s">
        <v>352</v>
      </c>
      <c r="D164" s="13" t="s">
        <v>252</v>
      </c>
      <c r="E164" s="13" t="s">
        <v>116</v>
      </c>
      <c r="G164" t="b">
        <f t="shared" si="2"/>
        <v>1</v>
      </c>
    </row>
    <row r="165" spans="1:7" x14ac:dyDescent="0.2">
      <c r="A165" s="55" t="s">
        <v>253</v>
      </c>
      <c r="B165" s="57">
        <v>1</v>
      </c>
      <c r="C165" s="57" t="s">
        <v>349</v>
      </c>
      <c r="D165" s="13" t="s">
        <v>253</v>
      </c>
      <c r="E165" s="13" t="s">
        <v>18</v>
      </c>
      <c r="G165" t="b">
        <f t="shared" si="2"/>
        <v>1</v>
      </c>
    </row>
    <row r="166" spans="1:7" x14ac:dyDescent="0.2">
      <c r="A166" s="55" t="s">
        <v>254</v>
      </c>
      <c r="B166" s="57">
        <v>1</v>
      </c>
      <c r="C166" s="57" t="s">
        <v>353</v>
      </c>
      <c r="D166" s="13" t="s">
        <v>254</v>
      </c>
      <c r="E166" s="13" t="s">
        <v>116</v>
      </c>
      <c r="G166" t="b">
        <f t="shared" si="2"/>
        <v>1</v>
      </c>
    </row>
    <row r="167" spans="1:7" x14ac:dyDescent="0.2">
      <c r="A167" s="55" t="s">
        <v>255</v>
      </c>
      <c r="B167" s="57">
        <v>1</v>
      </c>
      <c r="C167" s="57" t="s">
        <v>352</v>
      </c>
      <c r="D167" s="13" t="s">
        <v>255</v>
      </c>
      <c r="E167" s="13" t="s">
        <v>116</v>
      </c>
      <c r="G167" t="b">
        <f t="shared" si="2"/>
        <v>1</v>
      </c>
    </row>
    <row r="168" spans="1:7" x14ac:dyDescent="0.2">
      <c r="A168" s="55" t="s">
        <v>256</v>
      </c>
      <c r="B168" s="57">
        <v>1</v>
      </c>
      <c r="C168" s="57" t="s">
        <v>349</v>
      </c>
      <c r="D168" s="14" t="s">
        <v>256</v>
      </c>
      <c r="E168" s="14" t="s">
        <v>116</v>
      </c>
      <c r="G168" t="b">
        <f t="shared" si="2"/>
        <v>1</v>
      </c>
    </row>
    <row r="169" spans="1:7" x14ac:dyDescent="0.2">
      <c r="A169" s="55" t="s">
        <v>259</v>
      </c>
      <c r="B169" s="57">
        <v>1</v>
      </c>
      <c r="C169" s="57" t="s">
        <v>349</v>
      </c>
      <c r="D169" s="13" t="s">
        <v>259</v>
      </c>
      <c r="E169" s="13" t="s">
        <v>116</v>
      </c>
      <c r="G169" t="b">
        <f t="shared" si="2"/>
        <v>1</v>
      </c>
    </row>
    <row r="170" spans="1:7" x14ac:dyDescent="0.2">
      <c r="A170" s="55" t="s">
        <v>260</v>
      </c>
      <c r="B170" s="57">
        <v>1</v>
      </c>
      <c r="C170" s="57" t="s">
        <v>349</v>
      </c>
      <c r="D170" s="41" t="s">
        <v>260</v>
      </c>
      <c r="E170" s="41" t="s">
        <v>18</v>
      </c>
      <c r="G170" t="b">
        <f t="shared" si="2"/>
        <v>1</v>
      </c>
    </row>
    <row r="171" spans="1:7" x14ac:dyDescent="0.2">
      <c r="A171" s="55" t="s">
        <v>261</v>
      </c>
      <c r="B171" s="57">
        <v>1</v>
      </c>
      <c r="C171" s="57" t="s">
        <v>350</v>
      </c>
      <c r="D171" s="41" t="s">
        <v>261</v>
      </c>
      <c r="E171" s="41" t="s">
        <v>18</v>
      </c>
      <c r="G171" t="b">
        <f t="shared" si="2"/>
        <v>1</v>
      </c>
    </row>
    <row r="172" spans="1:7" x14ac:dyDescent="0.2">
      <c r="A172" s="55" t="s">
        <v>262</v>
      </c>
      <c r="B172" s="57">
        <v>1</v>
      </c>
      <c r="C172" s="57" t="s">
        <v>353</v>
      </c>
      <c r="D172" s="13" t="s">
        <v>262</v>
      </c>
      <c r="E172" s="13" t="s">
        <v>116</v>
      </c>
      <c r="G172" t="b">
        <f t="shared" si="2"/>
        <v>1</v>
      </c>
    </row>
    <row r="173" spans="1:7" x14ac:dyDescent="0.2">
      <c r="A173" s="55" t="s">
        <v>263</v>
      </c>
      <c r="B173" s="57">
        <v>1</v>
      </c>
      <c r="C173" s="57" t="s">
        <v>352</v>
      </c>
      <c r="D173" s="13" t="s">
        <v>263</v>
      </c>
      <c r="E173" s="13" t="s">
        <v>116</v>
      </c>
      <c r="G173" t="b">
        <f t="shared" si="2"/>
        <v>1</v>
      </c>
    </row>
    <row r="174" spans="1:7" x14ac:dyDescent="0.2">
      <c r="A174" s="55" t="s">
        <v>264</v>
      </c>
      <c r="B174" s="57">
        <v>1</v>
      </c>
      <c r="C174" s="57" t="s">
        <v>351</v>
      </c>
      <c r="D174" s="13" t="s">
        <v>264</v>
      </c>
      <c r="E174" s="13" t="s">
        <v>18</v>
      </c>
      <c r="G174" t="b">
        <f t="shared" si="2"/>
        <v>1</v>
      </c>
    </row>
    <row r="175" spans="1:7" x14ac:dyDescent="0.2">
      <c r="A175" s="55" t="s">
        <v>265</v>
      </c>
      <c r="B175" s="57">
        <v>1</v>
      </c>
      <c r="C175" s="57" t="s">
        <v>349</v>
      </c>
      <c r="D175" s="13" t="s">
        <v>265</v>
      </c>
      <c r="E175" s="13" t="s">
        <v>116</v>
      </c>
      <c r="G175" t="b">
        <f t="shared" si="2"/>
        <v>1</v>
      </c>
    </row>
    <row r="176" spans="1:7" x14ac:dyDescent="0.2">
      <c r="A176" s="55" t="s">
        <v>266</v>
      </c>
      <c r="B176" s="57">
        <v>1</v>
      </c>
      <c r="C176" s="57" t="s">
        <v>349</v>
      </c>
      <c r="D176" s="13" t="s">
        <v>266</v>
      </c>
      <c r="E176" s="13" t="s">
        <v>116</v>
      </c>
      <c r="G176" t="b">
        <f t="shared" si="2"/>
        <v>1</v>
      </c>
    </row>
    <row r="177" spans="1:7" x14ac:dyDescent="0.2">
      <c r="A177" s="55" t="s">
        <v>267</v>
      </c>
      <c r="B177" s="57">
        <v>1</v>
      </c>
      <c r="C177" s="57" t="s">
        <v>349</v>
      </c>
      <c r="D177" s="13" t="s">
        <v>267</v>
      </c>
      <c r="E177" s="13" t="s">
        <v>18</v>
      </c>
      <c r="G177" t="b">
        <f t="shared" si="2"/>
        <v>1</v>
      </c>
    </row>
    <row r="178" spans="1:7" x14ac:dyDescent="0.2">
      <c r="A178" s="55" t="s">
        <v>268</v>
      </c>
      <c r="B178" s="57">
        <v>1</v>
      </c>
      <c r="C178" s="57" t="s">
        <v>349</v>
      </c>
      <c r="D178" s="13" t="s">
        <v>268</v>
      </c>
      <c r="E178" s="13" t="s">
        <v>18</v>
      </c>
      <c r="G178" t="b">
        <f t="shared" si="2"/>
        <v>1</v>
      </c>
    </row>
    <row r="179" spans="1:7" x14ac:dyDescent="0.2">
      <c r="A179" s="55" t="s">
        <v>269</v>
      </c>
      <c r="B179" s="57">
        <v>1</v>
      </c>
      <c r="C179" s="57" t="s">
        <v>350</v>
      </c>
      <c r="D179" s="13" t="s">
        <v>269</v>
      </c>
      <c r="E179" s="13" t="s">
        <v>18</v>
      </c>
      <c r="G179" t="b">
        <f t="shared" si="2"/>
        <v>1</v>
      </c>
    </row>
    <row r="180" spans="1:7" x14ac:dyDescent="0.2">
      <c r="A180" s="55" t="s">
        <v>270</v>
      </c>
      <c r="B180" s="57">
        <v>1</v>
      </c>
      <c r="C180" s="57" t="s">
        <v>350</v>
      </c>
      <c r="D180" s="13" t="s">
        <v>270</v>
      </c>
      <c r="E180" s="13" t="s">
        <v>18</v>
      </c>
      <c r="G180" t="b">
        <f t="shared" si="2"/>
        <v>1</v>
      </c>
    </row>
    <row r="181" spans="1:7" x14ac:dyDescent="0.2">
      <c r="A181" s="55" t="s">
        <v>271</v>
      </c>
      <c r="B181" s="57">
        <v>1</v>
      </c>
      <c r="C181" s="57" t="s">
        <v>349</v>
      </c>
      <c r="D181" s="13" t="s">
        <v>271</v>
      </c>
      <c r="E181" s="13" t="s">
        <v>46</v>
      </c>
      <c r="G181" t="b">
        <f t="shared" si="2"/>
        <v>1</v>
      </c>
    </row>
    <row r="182" spans="1:7" x14ac:dyDescent="0.2">
      <c r="A182" s="55" t="s">
        <v>272</v>
      </c>
      <c r="B182" s="57">
        <v>1</v>
      </c>
      <c r="C182" s="57" t="s">
        <v>349</v>
      </c>
      <c r="D182" s="13" t="s">
        <v>272</v>
      </c>
      <c r="E182" s="13" t="s">
        <v>46</v>
      </c>
      <c r="G182" t="b">
        <f t="shared" si="2"/>
        <v>1</v>
      </c>
    </row>
    <row r="183" spans="1:7" x14ac:dyDescent="0.2">
      <c r="A183" s="55" t="s">
        <v>273</v>
      </c>
      <c r="B183" s="57">
        <v>1</v>
      </c>
      <c r="C183" s="57" t="s">
        <v>353</v>
      </c>
      <c r="D183" s="13" t="s">
        <v>273</v>
      </c>
      <c r="E183" s="13" t="s">
        <v>116</v>
      </c>
      <c r="G183" t="b">
        <f t="shared" si="2"/>
        <v>1</v>
      </c>
    </row>
    <row r="184" spans="1:7" x14ac:dyDescent="0.2">
      <c r="A184" s="55" t="s">
        <v>275</v>
      </c>
      <c r="B184" s="57">
        <v>1</v>
      </c>
      <c r="C184" s="57" t="s">
        <v>353</v>
      </c>
      <c r="D184" s="13" t="s">
        <v>275</v>
      </c>
      <c r="E184" s="13" t="s">
        <v>116</v>
      </c>
      <c r="G184" t="b">
        <f t="shared" si="2"/>
        <v>1</v>
      </c>
    </row>
    <row r="185" spans="1:7" x14ac:dyDescent="0.2">
      <c r="A185" s="55" t="s">
        <v>276</v>
      </c>
      <c r="B185" s="57">
        <v>1</v>
      </c>
      <c r="C185" s="57" t="s">
        <v>352</v>
      </c>
      <c r="D185" s="13" t="s">
        <v>276</v>
      </c>
      <c r="E185" s="13" t="s">
        <v>144</v>
      </c>
      <c r="G185" t="b">
        <f t="shared" si="2"/>
        <v>1</v>
      </c>
    </row>
    <row r="186" spans="1:7" x14ac:dyDescent="0.2">
      <c r="A186" s="55" t="s">
        <v>278</v>
      </c>
      <c r="B186" s="57">
        <v>1</v>
      </c>
      <c r="C186" s="57" t="s">
        <v>353</v>
      </c>
      <c r="D186" s="13" t="s">
        <v>278</v>
      </c>
      <c r="E186" s="13" t="s">
        <v>116</v>
      </c>
      <c r="G186" t="b">
        <f t="shared" si="2"/>
        <v>1</v>
      </c>
    </row>
    <row r="187" spans="1:7" x14ac:dyDescent="0.2">
      <c r="A187" s="55" t="s">
        <v>279</v>
      </c>
      <c r="B187" s="57">
        <v>1</v>
      </c>
      <c r="C187" s="57" t="s">
        <v>353</v>
      </c>
      <c r="D187" s="13" t="s">
        <v>279</v>
      </c>
      <c r="E187" s="13" t="s">
        <v>144</v>
      </c>
      <c r="G187" t="b">
        <f t="shared" si="2"/>
        <v>1</v>
      </c>
    </row>
    <row r="188" spans="1:7" x14ac:dyDescent="0.2">
      <c r="A188" s="55" t="s">
        <v>280</v>
      </c>
      <c r="B188" s="57">
        <v>1</v>
      </c>
      <c r="C188" s="57" t="s">
        <v>353</v>
      </c>
      <c r="D188" s="13" t="s">
        <v>280</v>
      </c>
      <c r="E188" s="13" t="s">
        <v>116</v>
      </c>
      <c r="G188" t="b">
        <f t="shared" si="2"/>
        <v>1</v>
      </c>
    </row>
    <row r="189" spans="1:7" x14ac:dyDescent="0.2">
      <c r="A189" s="55" t="s">
        <v>282</v>
      </c>
      <c r="B189" s="57">
        <v>1</v>
      </c>
      <c r="C189" s="57" t="s">
        <v>353</v>
      </c>
      <c r="D189" s="13" t="s">
        <v>282</v>
      </c>
      <c r="E189" s="13" t="s">
        <v>116</v>
      </c>
      <c r="G189" t="b">
        <f t="shared" si="2"/>
        <v>1</v>
      </c>
    </row>
    <row r="190" spans="1:7" x14ac:dyDescent="0.2">
      <c r="A190" s="55" t="s">
        <v>283</v>
      </c>
      <c r="B190" s="57">
        <v>1</v>
      </c>
      <c r="C190" s="57" t="s">
        <v>353</v>
      </c>
      <c r="D190" s="13" t="s">
        <v>283</v>
      </c>
      <c r="E190" s="13" t="s">
        <v>116</v>
      </c>
      <c r="G190" t="b">
        <f t="shared" si="2"/>
        <v>1</v>
      </c>
    </row>
    <row r="191" spans="1:7" x14ac:dyDescent="0.2">
      <c r="A191" s="55" t="s">
        <v>284</v>
      </c>
      <c r="B191" s="57">
        <v>1</v>
      </c>
      <c r="C191" s="57" t="s">
        <v>352</v>
      </c>
      <c r="D191" s="13" t="s">
        <v>284</v>
      </c>
      <c r="E191" s="13" t="s">
        <v>116</v>
      </c>
      <c r="G191" t="b">
        <f t="shared" si="2"/>
        <v>1</v>
      </c>
    </row>
    <row r="192" spans="1:7" x14ac:dyDescent="0.2">
      <c r="A192" s="55" t="s">
        <v>286</v>
      </c>
      <c r="B192" s="57">
        <v>1</v>
      </c>
      <c r="C192" s="57" t="s">
        <v>353</v>
      </c>
      <c r="D192" s="13" t="s">
        <v>286</v>
      </c>
      <c r="E192" s="13" t="s">
        <v>116</v>
      </c>
      <c r="G192" t="b">
        <f t="shared" si="2"/>
        <v>1</v>
      </c>
    </row>
    <row r="193" spans="1:7" x14ac:dyDescent="0.2">
      <c r="A193" s="55" t="s">
        <v>287</v>
      </c>
      <c r="B193" s="57">
        <v>1</v>
      </c>
      <c r="C193" s="57" t="s">
        <v>351</v>
      </c>
      <c r="D193" s="13" t="s">
        <v>287</v>
      </c>
      <c r="E193" s="13" t="s">
        <v>18</v>
      </c>
      <c r="G193" t="b">
        <f t="shared" si="2"/>
        <v>1</v>
      </c>
    </row>
    <row r="194" spans="1:7" x14ac:dyDescent="0.2">
      <c r="A194" s="55" t="s">
        <v>288</v>
      </c>
      <c r="B194" s="57">
        <v>1</v>
      </c>
      <c r="C194" s="57" t="s">
        <v>351</v>
      </c>
      <c r="D194" s="13" t="s">
        <v>288</v>
      </c>
      <c r="E194" s="13" t="s">
        <v>18</v>
      </c>
      <c r="G194" t="b">
        <f t="shared" si="2"/>
        <v>1</v>
      </c>
    </row>
    <row r="195" spans="1:7" x14ac:dyDescent="0.2">
      <c r="A195" s="55" t="s">
        <v>289</v>
      </c>
      <c r="B195" s="57">
        <v>1</v>
      </c>
      <c r="C195" s="57" t="s">
        <v>350</v>
      </c>
      <c r="D195" s="13" t="s">
        <v>289</v>
      </c>
      <c r="E195" s="13" t="s">
        <v>18</v>
      </c>
      <c r="G195" t="b">
        <f t="shared" ref="G195:G198" si="3">EXACT(A195,D195)</f>
        <v>1</v>
      </c>
    </row>
    <row r="196" spans="1:7" x14ac:dyDescent="0.2">
      <c r="A196" s="55" t="s">
        <v>290</v>
      </c>
      <c r="B196" s="57">
        <v>1</v>
      </c>
      <c r="C196" s="57" t="s">
        <v>349</v>
      </c>
      <c r="D196" s="13" t="s">
        <v>290</v>
      </c>
      <c r="E196" s="13" t="s">
        <v>18</v>
      </c>
      <c r="G196" t="b">
        <f t="shared" si="3"/>
        <v>1</v>
      </c>
    </row>
    <row r="197" spans="1:7" x14ac:dyDescent="0.2">
      <c r="A197" s="55" t="s">
        <v>291</v>
      </c>
      <c r="B197" s="57">
        <v>1</v>
      </c>
      <c r="C197" s="57" t="s">
        <v>350</v>
      </c>
      <c r="D197" s="13" t="s">
        <v>291</v>
      </c>
      <c r="E197" s="13" t="s">
        <v>18</v>
      </c>
      <c r="G197" t="b">
        <f t="shared" si="3"/>
        <v>1</v>
      </c>
    </row>
    <row r="198" spans="1:7" x14ac:dyDescent="0.2">
      <c r="A198" s="55" t="s">
        <v>292</v>
      </c>
      <c r="B198" s="57">
        <v>1</v>
      </c>
      <c r="C198" s="57" t="s">
        <v>349</v>
      </c>
      <c r="D198" s="13" t="s">
        <v>292</v>
      </c>
      <c r="E198" s="13" t="s">
        <v>39</v>
      </c>
      <c r="G198" t="b">
        <f t="shared" si="3"/>
        <v>1</v>
      </c>
    </row>
    <row r="199" spans="1:7" x14ac:dyDescent="0.2">
      <c r="A199" s="55" t="s">
        <v>293</v>
      </c>
      <c r="B199" s="57">
        <v>1</v>
      </c>
      <c r="C199" s="57" t="s">
        <v>350</v>
      </c>
      <c r="D199" s="13" t="s">
        <v>293</v>
      </c>
      <c r="E199" s="13" t="s">
        <v>80</v>
      </c>
      <c r="G199" t="b">
        <f t="shared" ref="G199:G213" si="4">EXACT(A199,D199)</f>
        <v>1</v>
      </c>
    </row>
    <row r="200" spans="1:7" x14ac:dyDescent="0.2">
      <c r="A200" s="55" t="s">
        <v>294</v>
      </c>
      <c r="B200" s="57">
        <v>1</v>
      </c>
      <c r="C200" s="57" t="s">
        <v>350</v>
      </c>
      <c r="D200" s="13" t="s">
        <v>294</v>
      </c>
      <c r="E200" s="13" t="s">
        <v>80</v>
      </c>
      <c r="G200" t="b">
        <f t="shared" si="4"/>
        <v>1</v>
      </c>
    </row>
    <row r="201" spans="1:7" x14ac:dyDescent="0.2">
      <c r="A201" s="55" t="s">
        <v>295</v>
      </c>
      <c r="B201" s="57">
        <v>1</v>
      </c>
      <c r="C201" s="57" t="s">
        <v>349</v>
      </c>
      <c r="D201" s="13" t="s">
        <v>295</v>
      </c>
      <c r="E201" s="13" t="s">
        <v>91</v>
      </c>
      <c r="G201" t="b">
        <f t="shared" si="4"/>
        <v>1</v>
      </c>
    </row>
    <row r="202" spans="1:7" x14ac:dyDescent="0.2">
      <c r="A202" s="55" t="s">
        <v>296</v>
      </c>
      <c r="B202" s="57">
        <v>1</v>
      </c>
      <c r="C202" s="57" t="s">
        <v>353</v>
      </c>
      <c r="D202" s="13" t="s">
        <v>296</v>
      </c>
      <c r="E202" s="13" t="s">
        <v>97</v>
      </c>
      <c r="G202" t="b">
        <f t="shared" si="4"/>
        <v>1</v>
      </c>
    </row>
    <row r="203" spans="1:7" x14ac:dyDescent="0.2">
      <c r="A203" s="55" t="s">
        <v>298</v>
      </c>
      <c r="B203" s="57">
        <v>1</v>
      </c>
      <c r="C203" s="57" t="s">
        <v>353</v>
      </c>
      <c r="D203" s="13" t="s">
        <v>298</v>
      </c>
      <c r="E203" s="13" t="s">
        <v>100</v>
      </c>
      <c r="G203" t="b">
        <f t="shared" si="4"/>
        <v>1</v>
      </c>
    </row>
    <row r="204" spans="1:7" x14ac:dyDescent="0.2">
      <c r="A204" s="55" t="s">
        <v>299</v>
      </c>
      <c r="B204" s="57">
        <v>1</v>
      </c>
      <c r="C204" s="57" t="s">
        <v>352</v>
      </c>
      <c r="D204" s="13" t="s">
        <v>299</v>
      </c>
      <c r="E204" s="13" t="s">
        <v>100</v>
      </c>
      <c r="G204" t="b">
        <f t="shared" si="4"/>
        <v>1</v>
      </c>
    </row>
    <row r="205" spans="1:7" x14ac:dyDescent="0.2">
      <c r="A205" s="55" t="s">
        <v>301</v>
      </c>
      <c r="B205" s="57">
        <v>1</v>
      </c>
      <c r="C205" s="57" t="s">
        <v>353</v>
      </c>
      <c r="D205" s="41" t="s">
        <v>301</v>
      </c>
      <c r="E205" s="41" t="s">
        <v>80</v>
      </c>
      <c r="G205" t="b">
        <f t="shared" si="4"/>
        <v>1</v>
      </c>
    </row>
    <row r="206" spans="1:7" x14ac:dyDescent="0.2">
      <c r="A206" s="55" t="s">
        <v>303</v>
      </c>
      <c r="B206" s="57">
        <v>1</v>
      </c>
      <c r="C206" s="57" t="s">
        <v>353</v>
      </c>
      <c r="D206" s="41" t="s">
        <v>303</v>
      </c>
      <c r="E206" s="41" t="s">
        <v>58</v>
      </c>
      <c r="G206" t="b">
        <f t="shared" si="4"/>
        <v>1</v>
      </c>
    </row>
    <row r="207" spans="1:7" x14ac:dyDescent="0.2">
      <c r="A207" s="55" t="s">
        <v>304</v>
      </c>
      <c r="B207" s="57">
        <v>1</v>
      </c>
      <c r="C207" s="57" t="s">
        <v>349</v>
      </c>
      <c r="D207" s="13" t="s">
        <v>304</v>
      </c>
      <c r="E207" s="13" t="s">
        <v>18</v>
      </c>
      <c r="G207" t="b">
        <f t="shared" si="4"/>
        <v>1</v>
      </c>
    </row>
    <row r="208" spans="1:7" x14ac:dyDescent="0.2">
      <c r="A208" s="55" t="s">
        <v>306</v>
      </c>
      <c r="B208" s="57">
        <v>1</v>
      </c>
      <c r="C208" s="57" t="s">
        <v>353</v>
      </c>
      <c r="D208" s="13" t="s">
        <v>306</v>
      </c>
      <c r="E208" s="13" t="s">
        <v>144</v>
      </c>
      <c r="G208" t="b">
        <f t="shared" si="4"/>
        <v>1</v>
      </c>
    </row>
    <row r="209" spans="1:7" x14ac:dyDescent="0.2">
      <c r="A209" s="55" t="s">
        <v>307</v>
      </c>
      <c r="B209" s="57">
        <v>1</v>
      </c>
      <c r="C209" s="57" t="s">
        <v>350</v>
      </c>
      <c r="D209" s="41" t="s">
        <v>307</v>
      </c>
      <c r="E209" s="41" t="s">
        <v>144</v>
      </c>
      <c r="G209" t="b">
        <f t="shared" si="4"/>
        <v>1</v>
      </c>
    </row>
    <row r="210" spans="1:7" x14ac:dyDescent="0.2">
      <c r="A210" s="55" t="s">
        <v>308</v>
      </c>
      <c r="B210" s="57">
        <v>1</v>
      </c>
      <c r="C210" s="57" t="s">
        <v>350</v>
      </c>
      <c r="D210" s="13" t="s">
        <v>308</v>
      </c>
      <c r="E210" s="13" t="s">
        <v>39</v>
      </c>
      <c r="G210" t="b">
        <f t="shared" si="4"/>
        <v>1</v>
      </c>
    </row>
    <row r="211" spans="1:7" x14ac:dyDescent="0.2">
      <c r="A211" s="55" t="s">
        <v>309</v>
      </c>
      <c r="B211" s="57">
        <v>1</v>
      </c>
      <c r="C211" s="57" t="s">
        <v>351</v>
      </c>
      <c r="D211" s="13" t="s">
        <v>309</v>
      </c>
      <c r="E211" s="13" t="s">
        <v>39</v>
      </c>
      <c r="G211" t="b">
        <f t="shared" si="4"/>
        <v>1</v>
      </c>
    </row>
    <row r="212" spans="1:7" x14ac:dyDescent="0.2">
      <c r="A212" s="55" t="s">
        <v>310</v>
      </c>
      <c r="B212" s="57">
        <v>1</v>
      </c>
      <c r="C212" s="57" t="s">
        <v>351</v>
      </c>
      <c r="D212" s="13" t="s">
        <v>310</v>
      </c>
      <c r="E212" s="13" t="s">
        <v>18</v>
      </c>
      <c r="G212" t="b">
        <f t="shared" si="4"/>
        <v>1</v>
      </c>
    </row>
    <row r="213" spans="1:7" x14ac:dyDescent="0.2">
      <c r="A213" s="55" t="s">
        <v>311</v>
      </c>
      <c r="B213" s="57">
        <v>1</v>
      </c>
      <c r="C213" s="57" t="s">
        <v>352</v>
      </c>
      <c r="D213" s="13" t="s">
        <v>311</v>
      </c>
      <c r="E213" s="13" t="s">
        <v>80</v>
      </c>
      <c r="G213" t="b">
        <f t="shared" si="4"/>
        <v>1</v>
      </c>
    </row>
    <row r="214" spans="1:7" x14ac:dyDescent="0.2">
      <c r="A214" s="55"/>
      <c r="B214" s="57"/>
      <c r="C214" s="57"/>
      <c r="D214" s="13"/>
      <c r="E214" s="13"/>
    </row>
    <row r="215" spans="1:7" x14ac:dyDescent="0.2">
      <c r="A215" s="55"/>
      <c r="B215" s="57"/>
      <c r="C215" s="57"/>
      <c r="D215" s="13"/>
      <c r="E215" s="13"/>
    </row>
    <row r="216" spans="1:7" x14ac:dyDescent="0.2">
      <c r="A216" s="55"/>
      <c r="B216" s="57"/>
      <c r="C216" s="57"/>
    </row>
    <row r="217" spans="1:7" x14ac:dyDescent="0.2">
      <c r="A217" s="55"/>
      <c r="B217" s="57"/>
      <c r="C217" s="57"/>
    </row>
    <row r="218" spans="1:7" x14ac:dyDescent="0.2">
      <c r="A218" s="55"/>
      <c r="B218" s="57"/>
      <c r="C218" s="57"/>
    </row>
    <row r="219" spans="1:7" x14ac:dyDescent="0.2">
      <c r="A219" s="55"/>
      <c r="B219" s="57"/>
      <c r="C219" s="57"/>
    </row>
    <row r="220" spans="1:7" x14ac:dyDescent="0.2">
      <c r="A220" s="55"/>
      <c r="B220" s="57"/>
      <c r="C220" s="57"/>
    </row>
    <row r="221" spans="1:7" x14ac:dyDescent="0.2">
      <c r="A221" s="55"/>
      <c r="B221" s="57"/>
      <c r="C221" s="57"/>
    </row>
    <row r="222" spans="1:7" x14ac:dyDescent="0.2">
      <c r="A222" s="55"/>
      <c r="B222" s="57"/>
      <c r="C222" s="57"/>
    </row>
    <row r="223" spans="1:7" x14ac:dyDescent="0.2">
      <c r="A223" s="55"/>
      <c r="B223" s="57"/>
      <c r="C223" s="57"/>
    </row>
    <row r="224" spans="1:7" x14ac:dyDescent="0.2">
      <c r="A224" s="55"/>
      <c r="B224" s="57"/>
      <c r="C224" s="57"/>
    </row>
    <row r="225" spans="1:3" x14ac:dyDescent="0.2">
      <c r="A225" s="55"/>
      <c r="B225" s="57"/>
      <c r="C225" s="57"/>
    </row>
    <row r="226" spans="1:3" x14ac:dyDescent="0.2">
      <c r="A226" s="55"/>
      <c r="B226" s="57"/>
      <c r="C226" s="57"/>
    </row>
    <row r="227" spans="1:3" x14ac:dyDescent="0.2">
      <c r="A227" s="55"/>
      <c r="B227" s="57"/>
      <c r="C227" s="57"/>
    </row>
    <row r="228" spans="1:3" x14ac:dyDescent="0.2">
      <c r="A228" s="55"/>
      <c r="B228" s="57"/>
      <c r="C228" s="57"/>
    </row>
    <row r="229" spans="1:3" x14ac:dyDescent="0.2">
      <c r="A229" s="55"/>
      <c r="B229" s="57"/>
      <c r="C229" s="57"/>
    </row>
    <row r="230" spans="1:3" x14ac:dyDescent="0.2">
      <c r="A230" s="55"/>
      <c r="B230" s="57"/>
      <c r="C230" s="57"/>
    </row>
    <row r="231" spans="1:3" x14ac:dyDescent="0.2">
      <c r="A231" s="55"/>
      <c r="B231" s="57"/>
      <c r="C231" s="57"/>
    </row>
    <row r="232" spans="1:3" x14ac:dyDescent="0.2">
      <c r="A232" s="55"/>
      <c r="B232" s="57"/>
      <c r="C232" s="57"/>
    </row>
    <row r="233" spans="1:3" x14ac:dyDescent="0.2">
      <c r="A233" s="55"/>
      <c r="B233" s="57"/>
      <c r="C233" s="57"/>
    </row>
  </sheetData>
  <sortState xmlns:xlrd2="http://schemas.microsoft.com/office/spreadsheetml/2017/richdata2" ref="A2:C1007">
    <sortCondition ref="A2:A1007"/>
  </sortState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H1001"/>
  <sheetViews>
    <sheetView topLeftCell="A42" workbookViewId="0">
      <selection activeCell="U59" sqref="U59"/>
    </sheetView>
  </sheetViews>
  <sheetFormatPr baseColWidth="10" defaultColWidth="11.1640625" defaultRowHeight="15" customHeight="1" x14ac:dyDescent="0.2"/>
  <cols>
    <col min="1" max="1" width="10.6640625" customWidth="1"/>
    <col min="2" max="2" width="14.33203125" customWidth="1"/>
    <col min="3" max="3" width="13.83203125" customWidth="1"/>
    <col min="4" max="4" width="8.6640625" customWidth="1"/>
    <col min="5" max="5" width="9.6640625" customWidth="1"/>
    <col min="6" max="6" width="14.6640625" customWidth="1"/>
    <col min="7" max="7" width="10" customWidth="1"/>
    <col min="8" max="8" width="11" customWidth="1"/>
    <col min="9" max="9" width="10.6640625" customWidth="1"/>
    <col min="10" max="10" width="14.33203125" customWidth="1"/>
    <col min="11" max="11" width="10.6640625" customWidth="1"/>
    <col min="12" max="12" width="13.33203125" customWidth="1"/>
    <col min="13" max="13" width="10.5" customWidth="1"/>
    <col min="14" max="15" width="10.6640625" customWidth="1"/>
    <col min="16" max="16" width="14.33203125" customWidth="1"/>
    <col min="17" max="18" width="10.6640625" customWidth="1"/>
    <col min="19" max="19" width="16.83203125" customWidth="1"/>
    <col min="20" max="32" width="10.6640625" customWidth="1"/>
  </cols>
  <sheetData>
    <row r="1" spans="1:16" ht="15.75" customHeight="1" x14ac:dyDescent="0.2">
      <c r="A1" s="17"/>
      <c r="B1" s="17" t="s">
        <v>312</v>
      </c>
      <c r="C1" s="17" t="s">
        <v>313</v>
      </c>
      <c r="D1" s="17" t="s">
        <v>314</v>
      </c>
      <c r="E1" s="17" t="s">
        <v>315</v>
      </c>
      <c r="I1" s="18" t="s">
        <v>316</v>
      </c>
      <c r="J1" s="18" t="s">
        <v>317</v>
      </c>
      <c r="K1" s="18" t="s">
        <v>318</v>
      </c>
    </row>
    <row r="2" spans="1:16" ht="15.75" customHeight="1" x14ac:dyDescent="0.2">
      <c r="A2" s="17" t="s">
        <v>319</v>
      </c>
      <c r="B2" s="17">
        <v>211</v>
      </c>
      <c r="C2" s="17">
        <v>178</v>
      </c>
      <c r="D2" s="17">
        <v>33</v>
      </c>
      <c r="E2" s="17">
        <v>211</v>
      </c>
      <c r="I2" s="18">
        <v>9</v>
      </c>
      <c r="J2" s="18">
        <v>11</v>
      </c>
      <c r="K2" s="18">
        <v>9</v>
      </c>
      <c r="L2" s="18">
        <f>C2+D2</f>
        <v>211</v>
      </c>
    </row>
    <row r="3" spans="1:16" ht="15.75" customHeight="1" x14ac:dyDescent="0.2">
      <c r="A3" s="17"/>
      <c r="B3" s="17"/>
      <c r="C3" s="17">
        <f>C2/B2</f>
        <v>0.84360189573459721</v>
      </c>
      <c r="D3" s="17">
        <f>D2/B2</f>
        <v>0.15639810426540285</v>
      </c>
      <c r="E3" s="18">
        <f>E2/B2</f>
        <v>1</v>
      </c>
      <c r="I3" s="18">
        <f>I2/B2</f>
        <v>4.2654028436018961E-2</v>
      </c>
      <c r="J3" s="18">
        <f>J2/B2</f>
        <v>5.2132701421800945E-2</v>
      </c>
      <c r="K3" s="18">
        <f>K2/B2</f>
        <v>4.2654028436018961E-2</v>
      </c>
    </row>
    <row r="4" spans="1:16" ht="15.75" customHeight="1" x14ac:dyDescent="0.2">
      <c r="A4" s="17"/>
      <c r="B4" s="17"/>
      <c r="C4" s="17"/>
      <c r="D4" s="17"/>
      <c r="I4" s="18">
        <f>I2/D2</f>
        <v>0.27272727272727271</v>
      </c>
      <c r="J4" s="18">
        <f>J2/D2</f>
        <v>0.33333333333333331</v>
      </c>
      <c r="K4" s="18">
        <f>K2/D2</f>
        <v>0.27272727272727271</v>
      </c>
    </row>
    <row r="5" spans="1:16" ht="15.75" customHeight="1" x14ac:dyDescent="0.2">
      <c r="A5" s="17"/>
      <c r="B5" s="17"/>
      <c r="C5" s="17"/>
      <c r="D5" s="17"/>
    </row>
    <row r="6" spans="1:16" ht="15.75" customHeight="1" x14ac:dyDescent="0.2">
      <c r="A6" s="17" t="s">
        <v>320</v>
      </c>
      <c r="B6" s="17">
        <v>211</v>
      </c>
      <c r="C6" s="17">
        <v>143</v>
      </c>
      <c r="D6" s="17">
        <v>68</v>
      </c>
      <c r="E6" s="17">
        <v>211</v>
      </c>
    </row>
    <row r="7" spans="1:16" ht="15.75" customHeight="1" x14ac:dyDescent="0.2">
      <c r="A7" s="17"/>
      <c r="B7" s="17"/>
      <c r="C7" s="17">
        <f>C6/B6</f>
        <v>0.67772511848341233</v>
      </c>
      <c r="D7" s="17">
        <f>D6/B6</f>
        <v>0.32227488151658767</v>
      </c>
      <c r="E7" s="18">
        <f>E6/B2</f>
        <v>1</v>
      </c>
    </row>
    <row r="8" spans="1:16" ht="15.75" customHeight="1" x14ac:dyDescent="0.2">
      <c r="A8" s="17" t="s">
        <v>321</v>
      </c>
      <c r="B8" s="17"/>
      <c r="C8" s="17">
        <v>147</v>
      </c>
      <c r="D8" s="17">
        <v>64</v>
      </c>
      <c r="E8" s="18">
        <v>211</v>
      </c>
    </row>
    <row r="9" spans="1:16" ht="15.75" customHeight="1" x14ac:dyDescent="0.2">
      <c r="A9" s="17"/>
      <c r="B9" s="17"/>
      <c r="C9" s="17">
        <f>C8/B6</f>
        <v>0.69668246445497628</v>
      </c>
      <c r="D9" s="17">
        <f>D8/B6</f>
        <v>0.30331753554502372</v>
      </c>
      <c r="E9" s="18">
        <f>E8/B2</f>
        <v>1</v>
      </c>
    </row>
    <row r="10" spans="1:16" ht="15.75" customHeight="1" x14ac:dyDescent="0.2">
      <c r="A10" s="17" t="s">
        <v>322</v>
      </c>
      <c r="B10" s="17"/>
      <c r="C10" s="17">
        <v>161</v>
      </c>
      <c r="D10" s="17">
        <v>50</v>
      </c>
      <c r="E10" s="18">
        <v>210</v>
      </c>
    </row>
    <row r="11" spans="1:16" ht="15.75" customHeight="1" x14ac:dyDescent="0.2">
      <c r="A11" s="17"/>
      <c r="B11" s="17"/>
      <c r="C11" s="17">
        <f>C10/B6</f>
        <v>0.76303317535545023</v>
      </c>
      <c r="D11" s="17">
        <f>D10/B6</f>
        <v>0.23696682464454977</v>
      </c>
      <c r="E11" s="18">
        <f>E10/B2</f>
        <v>0.99526066350710896</v>
      </c>
    </row>
    <row r="12" spans="1:16" ht="15.75" customHeight="1" x14ac:dyDescent="0.2">
      <c r="K12" s="18">
        <v>1</v>
      </c>
    </row>
    <row r="13" spans="1:16" ht="15.75" customHeight="1" x14ac:dyDescent="0.2"/>
    <row r="14" spans="1:16" ht="15.75" customHeight="1" x14ac:dyDescent="0.2">
      <c r="A14" s="19"/>
      <c r="B14" s="19" t="s">
        <v>323</v>
      </c>
      <c r="C14" s="19" t="s">
        <v>324</v>
      </c>
      <c r="D14" s="19" t="s">
        <v>325</v>
      </c>
      <c r="E14" s="19" t="s">
        <v>320</v>
      </c>
      <c r="F14" s="19" t="s">
        <v>325</v>
      </c>
      <c r="G14" s="19" t="s">
        <v>326</v>
      </c>
      <c r="H14" s="19" t="s">
        <v>325</v>
      </c>
      <c r="I14" s="19" t="s">
        <v>322</v>
      </c>
      <c r="J14" s="19" t="s">
        <v>325</v>
      </c>
      <c r="K14" s="19" t="s">
        <v>327</v>
      </c>
      <c r="L14" s="19" t="s">
        <v>328</v>
      </c>
      <c r="M14" s="20" t="s">
        <v>329</v>
      </c>
      <c r="N14" s="20" t="s">
        <v>330</v>
      </c>
      <c r="O14" s="20"/>
      <c r="P14" s="21" t="s">
        <v>331</v>
      </c>
    </row>
    <row r="15" spans="1:16" ht="15.75" customHeight="1" x14ac:dyDescent="0.2">
      <c r="A15" s="19" t="s">
        <v>332</v>
      </c>
      <c r="B15" s="19">
        <v>181</v>
      </c>
      <c r="C15" s="19">
        <v>155</v>
      </c>
      <c r="D15" s="19">
        <f t="shared" ref="D15:D23" si="0">C15/B15</f>
        <v>0.85635359116022103</v>
      </c>
      <c r="E15" s="19">
        <f>124</f>
        <v>124</v>
      </c>
      <c r="F15" s="19">
        <f t="shared" ref="F15:F23" si="1">E15/B15</f>
        <v>0.68508287292817682</v>
      </c>
      <c r="G15" s="19">
        <v>129</v>
      </c>
      <c r="H15" s="19">
        <f t="shared" ref="H15:H23" si="2">G15/B15</f>
        <v>0.71270718232044195</v>
      </c>
      <c r="I15" s="19">
        <v>141</v>
      </c>
      <c r="J15" s="19">
        <f t="shared" ref="J15:J23" si="3">I15/B15</f>
        <v>0.77900552486187846</v>
      </c>
      <c r="K15" s="18">
        <v>1</v>
      </c>
      <c r="L15" s="18">
        <f t="shared" ref="L15:L23" si="4">I15/(K15+I15)</f>
        <v>0.99295774647887325</v>
      </c>
      <c r="M15" s="20">
        <v>198</v>
      </c>
      <c r="N15" s="20">
        <f t="shared" ref="N15:N23" si="5">B15/M15</f>
        <v>0.91414141414141414</v>
      </c>
      <c r="O15" s="20">
        <f t="shared" ref="O15:O22" si="6">C15/M15</f>
        <v>0.78282828282828287</v>
      </c>
      <c r="P15" s="21">
        <f t="shared" ref="P15:P23" si="7">D15-MAX(F15,H15,J15)</f>
        <v>7.7348066298342566E-2</v>
      </c>
    </row>
    <row r="16" spans="1:16" ht="15.75" customHeight="1" x14ac:dyDescent="0.2">
      <c r="A16" s="19" t="s">
        <v>333</v>
      </c>
      <c r="B16" s="19">
        <v>30</v>
      </c>
      <c r="C16" s="19">
        <v>23</v>
      </c>
      <c r="D16" s="19">
        <f t="shared" si="0"/>
        <v>0.76666666666666672</v>
      </c>
      <c r="E16" s="19">
        <v>19</v>
      </c>
      <c r="F16" s="19">
        <f t="shared" si="1"/>
        <v>0.6333333333333333</v>
      </c>
      <c r="G16" s="19">
        <v>17</v>
      </c>
      <c r="H16" s="19">
        <f t="shared" si="2"/>
        <v>0.56666666666666665</v>
      </c>
      <c r="I16" s="19">
        <v>19</v>
      </c>
      <c r="J16" s="19">
        <f t="shared" si="3"/>
        <v>0.6333333333333333</v>
      </c>
      <c r="K16" s="18">
        <v>0</v>
      </c>
      <c r="L16" s="18">
        <f t="shared" si="4"/>
        <v>1</v>
      </c>
      <c r="M16" s="20">
        <v>34</v>
      </c>
      <c r="N16" s="20">
        <f t="shared" si="5"/>
        <v>0.88235294117647056</v>
      </c>
      <c r="O16" s="20">
        <f t="shared" si="6"/>
        <v>0.67647058823529416</v>
      </c>
      <c r="P16" s="21">
        <f t="shared" si="7"/>
        <v>0.13333333333333341</v>
      </c>
    </row>
    <row r="17" spans="1:16" ht="15.75" customHeight="1" x14ac:dyDescent="0.2">
      <c r="A17" s="19" t="s">
        <v>334</v>
      </c>
      <c r="B17" s="19">
        <v>63</v>
      </c>
      <c r="C17" s="19">
        <v>50</v>
      </c>
      <c r="D17" s="19">
        <f t="shared" si="0"/>
        <v>0.79365079365079361</v>
      </c>
      <c r="E17" s="19">
        <v>40</v>
      </c>
      <c r="F17" s="19">
        <f t="shared" si="1"/>
        <v>0.63492063492063489</v>
      </c>
      <c r="G17" s="19">
        <v>44</v>
      </c>
      <c r="H17" s="19">
        <f t="shared" si="2"/>
        <v>0.69841269841269837</v>
      </c>
      <c r="I17" s="19">
        <v>51</v>
      </c>
      <c r="J17" s="19">
        <f t="shared" si="3"/>
        <v>0.80952380952380953</v>
      </c>
      <c r="K17" s="18">
        <v>1</v>
      </c>
      <c r="L17" s="18">
        <f t="shared" si="4"/>
        <v>0.98076923076923073</v>
      </c>
      <c r="M17" s="20">
        <v>63</v>
      </c>
      <c r="N17" s="20">
        <f t="shared" si="5"/>
        <v>1</v>
      </c>
      <c r="O17" s="20">
        <f t="shared" si="6"/>
        <v>0.79365079365079361</v>
      </c>
      <c r="P17" s="21">
        <f t="shared" si="7"/>
        <v>-1.5873015873015928E-2</v>
      </c>
    </row>
    <row r="18" spans="1:16" ht="15.75" customHeight="1" x14ac:dyDescent="0.2">
      <c r="A18" s="19" t="s">
        <v>335</v>
      </c>
      <c r="B18" s="19">
        <v>11</v>
      </c>
      <c r="C18" s="19">
        <v>8</v>
      </c>
      <c r="D18" s="19">
        <f t="shared" si="0"/>
        <v>0.72727272727272729</v>
      </c>
      <c r="E18" s="19">
        <v>6</v>
      </c>
      <c r="F18" s="19">
        <f t="shared" si="1"/>
        <v>0.54545454545454541</v>
      </c>
      <c r="G18" s="19">
        <v>6</v>
      </c>
      <c r="H18" s="19">
        <f t="shared" si="2"/>
        <v>0.54545454545454541</v>
      </c>
      <c r="I18" s="19">
        <v>7</v>
      </c>
      <c r="J18" s="19">
        <f t="shared" si="3"/>
        <v>0.63636363636363635</v>
      </c>
      <c r="K18" s="18">
        <v>0</v>
      </c>
      <c r="L18" s="18">
        <f t="shared" si="4"/>
        <v>1</v>
      </c>
      <c r="M18" s="20">
        <v>11</v>
      </c>
      <c r="N18" s="20">
        <f t="shared" si="5"/>
        <v>1</v>
      </c>
      <c r="O18" s="20">
        <f t="shared" si="6"/>
        <v>0.72727272727272729</v>
      </c>
      <c r="P18" s="21">
        <f t="shared" si="7"/>
        <v>9.0909090909090939E-2</v>
      </c>
    </row>
    <row r="19" spans="1:16" ht="15.75" customHeight="1" x14ac:dyDescent="0.2">
      <c r="A19" s="19" t="s">
        <v>336</v>
      </c>
      <c r="B19" s="19">
        <v>29</v>
      </c>
      <c r="C19" s="19">
        <v>22</v>
      </c>
      <c r="D19" s="19">
        <f t="shared" si="0"/>
        <v>0.75862068965517238</v>
      </c>
      <c r="E19" s="19">
        <v>18</v>
      </c>
      <c r="F19" s="19">
        <f t="shared" si="1"/>
        <v>0.62068965517241381</v>
      </c>
      <c r="G19" s="19">
        <v>19</v>
      </c>
      <c r="H19" s="19">
        <f t="shared" si="2"/>
        <v>0.65517241379310343</v>
      </c>
      <c r="I19" s="19">
        <v>22</v>
      </c>
      <c r="J19" s="19">
        <f t="shared" si="3"/>
        <v>0.75862068965517238</v>
      </c>
      <c r="K19" s="18">
        <v>0</v>
      </c>
      <c r="L19" s="18">
        <f t="shared" si="4"/>
        <v>1</v>
      </c>
      <c r="M19" s="20">
        <v>32</v>
      </c>
      <c r="N19" s="20">
        <f t="shared" si="5"/>
        <v>0.90625</v>
      </c>
      <c r="O19" s="20">
        <f t="shared" si="6"/>
        <v>0.6875</v>
      </c>
      <c r="P19" s="21">
        <f t="shared" si="7"/>
        <v>0</v>
      </c>
    </row>
    <row r="20" spans="1:16" ht="15.75" customHeight="1" x14ac:dyDescent="0.2">
      <c r="A20" s="19" t="s">
        <v>337</v>
      </c>
      <c r="B20" s="19">
        <v>8</v>
      </c>
      <c r="C20" s="19">
        <v>7</v>
      </c>
      <c r="D20" s="19">
        <f t="shared" si="0"/>
        <v>0.875</v>
      </c>
      <c r="E20" s="19">
        <v>7</v>
      </c>
      <c r="F20" s="19">
        <f t="shared" si="1"/>
        <v>0.875</v>
      </c>
      <c r="G20" s="19">
        <v>5</v>
      </c>
      <c r="H20" s="19">
        <f t="shared" si="2"/>
        <v>0.625</v>
      </c>
      <c r="I20" s="19">
        <v>6</v>
      </c>
      <c r="J20" s="19">
        <f t="shared" si="3"/>
        <v>0.75</v>
      </c>
      <c r="K20" s="18">
        <v>0</v>
      </c>
      <c r="L20" s="18">
        <f t="shared" si="4"/>
        <v>1</v>
      </c>
      <c r="M20" s="20">
        <v>11</v>
      </c>
      <c r="N20" s="20">
        <f t="shared" si="5"/>
        <v>0.72727272727272729</v>
      </c>
      <c r="O20" s="20">
        <f t="shared" si="6"/>
        <v>0.63636363636363635</v>
      </c>
      <c r="P20" s="21">
        <f t="shared" si="7"/>
        <v>0</v>
      </c>
    </row>
    <row r="21" spans="1:16" ht="15.75" customHeight="1" x14ac:dyDescent="0.2">
      <c r="A21" s="19" t="s">
        <v>338</v>
      </c>
      <c r="B21" s="19">
        <v>89</v>
      </c>
      <c r="C21" s="19">
        <v>83</v>
      </c>
      <c r="D21" s="19">
        <f t="shared" si="0"/>
        <v>0.93258426966292129</v>
      </c>
      <c r="E21" s="19">
        <v>66</v>
      </c>
      <c r="F21" s="19">
        <f t="shared" si="1"/>
        <v>0.7415730337078652</v>
      </c>
      <c r="G21" s="19">
        <v>68</v>
      </c>
      <c r="H21" s="19">
        <f t="shared" si="2"/>
        <v>0.7640449438202247</v>
      </c>
      <c r="I21" s="19">
        <v>69</v>
      </c>
      <c r="J21" s="19">
        <f t="shared" si="3"/>
        <v>0.7752808988764045</v>
      </c>
      <c r="K21" s="18">
        <v>0</v>
      </c>
      <c r="L21" s="18">
        <f t="shared" si="4"/>
        <v>1</v>
      </c>
      <c r="M21" s="20">
        <v>94</v>
      </c>
      <c r="N21" s="20">
        <f t="shared" si="5"/>
        <v>0.94680851063829785</v>
      </c>
      <c r="O21" s="20">
        <f t="shared" si="6"/>
        <v>0.88297872340425532</v>
      </c>
      <c r="P21" s="21">
        <f t="shared" si="7"/>
        <v>0.15730337078651679</v>
      </c>
    </row>
    <row r="22" spans="1:16" ht="15.75" customHeight="1" x14ac:dyDescent="0.2">
      <c r="A22" s="19" t="s">
        <v>339</v>
      </c>
      <c r="B22" s="19">
        <v>12</v>
      </c>
      <c r="C22" s="19">
        <v>10</v>
      </c>
      <c r="D22" s="19">
        <f t="shared" si="0"/>
        <v>0.83333333333333337</v>
      </c>
      <c r="E22" s="19">
        <v>7</v>
      </c>
      <c r="F22" s="19">
        <f t="shared" si="1"/>
        <v>0.58333333333333337</v>
      </c>
      <c r="G22" s="19">
        <v>5</v>
      </c>
      <c r="H22" s="19">
        <f t="shared" si="2"/>
        <v>0.41666666666666669</v>
      </c>
      <c r="I22" s="19">
        <v>7</v>
      </c>
      <c r="J22" s="19">
        <f t="shared" si="3"/>
        <v>0.58333333333333337</v>
      </c>
      <c r="K22" s="18">
        <v>0</v>
      </c>
      <c r="L22" s="18">
        <f t="shared" si="4"/>
        <v>1</v>
      </c>
      <c r="M22" s="20">
        <v>12</v>
      </c>
      <c r="N22" s="20">
        <f t="shared" si="5"/>
        <v>1</v>
      </c>
      <c r="O22" s="20">
        <f t="shared" si="6"/>
        <v>0.83333333333333337</v>
      </c>
      <c r="P22" s="21">
        <f t="shared" si="7"/>
        <v>0.25</v>
      </c>
    </row>
    <row r="23" spans="1:16" ht="15.75" customHeight="1" x14ac:dyDescent="0.2">
      <c r="A23" s="19" t="s">
        <v>340</v>
      </c>
      <c r="B23" s="19">
        <v>211</v>
      </c>
      <c r="C23" s="19">
        <v>178</v>
      </c>
      <c r="D23" s="19">
        <f t="shared" si="0"/>
        <v>0.84360189573459721</v>
      </c>
      <c r="E23" s="19">
        <v>143</v>
      </c>
      <c r="F23" s="19">
        <f t="shared" si="1"/>
        <v>0.67772511848341233</v>
      </c>
      <c r="G23" s="19">
        <v>147</v>
      </c>
      <c r="H23" s="19">
        <f t="shared" si="2"/>
        <v>0.69668246445497628</v>
      </c>
      <c r="I23" s="19">
        <v>161</v>
      </c>
      <c r="J23" s="19">
        <f t="shared" si="3"/>
        <v>0.76303317535545023</v>
      </c>
      <c r="K23" s="18">
        <v>1</v>
      </c>
      <c r="L23" s="18">
        <f t="shared" si="4"/>
        <v>0.99382716049382713</v>
      </c>
      <c r="M23" s="20">
        <v>232</v>
      </c>
      <c r="N23" s="20">
        <f t="shared" si="5"/>
        <v>0.90948275862068961</v>
      </c>
      <c r="O23" s="20">
        <f>B2/M23</f>
        <v>0.90948275862068961</v>
      </c>
      <c r="P23" s="21">
        <f t="shared" si="7"/>
        <v>8.0568720379146974E-2</v>
      </c>
    </row>
    <row r="24" spans="1:16" ht="15.75" customHeight="1" x14ac:dyDescent="0.2">
      <c r="L24" s="18" t="s">
        <v>341</v>
      </c>
    </row>
    <row r="25" spans="1:16" ht="15.75" customHeight="1" x14ac:dyDescent="0.2"/>
    <row r="26" spans="1:16" ht="15.75" customHeight="1" x14ac:dyDescent="0.2"/>
    <row r="27" spans="1:16" ht="15.75" customHeight="1" x14ac:dyDescent="0.2">
      <c r="A27" s="19"/>
      <c r="B27" s="19" t="s">
        <v>342</v>
      </c>
      <c r="C27" s="19"/>
      <c r="D27" s="19" t="s">
        <v>8</v>
      </c>
      <c r="E27" s="19" t="s">
        <v>325</v>
      </c>
      <c r="F27" s="19" t="s">
        <v>12</v>
      </c>
      <c r="G27" s="19" t="s">
        <v>325</v>
      </c>
      <c r="H27" s="19" t="s">
        <v>343</v>
      </c>
      <c r="I27" s="19" t="s">
        <v>325</v>
      </c>
      <c r="J27" s="19" t="s">
        <v>10</v>
      </c>
      <c r="K27" s="19" t="s">
        <v>325</v>
      </c>
      <c r="L27" s="20" t="s">
        <v>329</v>
      </c>
      <c r="M27" s="20" t="s">
        <v>330</v>
      </c>
      <c r="N27" s="20"/>
    </row>
    <row r="28" spans="1:16" ht="15.75" customHeight="1" x14ac:dyDescent="0.2">
      <c r="A28" s="19" t="s">
        <v>332</v>
      </c>
      <c r="B28" s="19">
        <v>142</v>
      </c>
      <c r="C28" s="19"/>
      <c r="D28" s="19">
        <v>115</v>
      </c>
      <c r="E28" s="19">
        <f t="shared" ref="E28:E35" si="8">D28/B28</f>
        <v>0.8098591549295775</v>
      </c>
      <c r="F28" s="19">
        <v>114</v>
      </c>
      <c r="G28" s="19">
        <f t="shared" ref="G28:G35" si="9">F28/B28</f>
        <v>0.80281690140845074</v>
      </c>
      <c r="H28" s="19">
        <v>113</v>
      </c>
      <c r="I28" s="19">
        <f t="shared" ref="I28:I35" si="10">H28/B28</f>
        <v>0.79577464788732399</v>
      </c>
      <c r="J28" s="19">
        <v>110</v>
      </c>
      <c r="K28" s="19">
        <f t="shared" ref="K28:K35" si="11">J28/B28</f>
        <v>0.77464788732394363</v>
      </c>
      <c r="L28" s="20">
        <v>198</v>
      </c>
      <c r="M28" s="20" t="e">
        <f>#REF!/L28</f>
        <v>#REF!</v>
      </c>
      <c r="N28" s="20">
        <f t="shared" ref="N28:N34" si="12">B28/L28</f>
        <v>0.71717171717171713</v>
      </c>
    </row>
    <row r="29" spans="1:16" ht="15.75" customHeight="1" x14ac:dyDescent="0.2">
      <c r="A29" s="19" t="s">
        <v>333</v>
      </c>
      <c r="B29" s="19">
        <v>21</v>
      </c>
      <c r="C29" s="19"/>
      <c r="D29" s="19">
        <v>15</v>
      </c>
      <c r="E29" s="19">
        <f t="shared" si="8"/>
        <v>0.7142857142857143</v>
      </c>
      <c r="F29" s="19">
        <v>15</v>
      </c>
      <c r="G29" s="19">
        <f t="shared" si="9"/>
        <v>0.7142857142857143</v>
      </c>
      <c r="H29" s="19">
        <v>15</v>
      </c>
      <c r="I29" s="19">
        <f t="shared" si="10"/>
        <v>0.7142857142857143</v>
      </c>
      <c r="J29" s="19">
        <v>15</v>
      </c>
      <c r="K29" s="19">
        <f t="shared" si="11"/>
        <v>0.7142857142857143</v>
      </c>
      <c r="L29" s="20">
        <v>34</v>
      </c>
      <c r="M29" s="20" t="e">
        <f>#REF!/L29</f>
        <v>#REF!</v>
      </c>
      <c r="N29" s="20">
        <f t="shared" si="12"/>
        <v>0.61764705882352944</v>
      </c>
    </row>
    <row r="30" spans="1:16" ht="15.75" customHeight="1" x14ac:dyDescent="0.2">
      <c r="A30" s="19" t="s">
        <v>334</v>
      </c>
      <c r="B30" s="19">
        <v>51</v>
      </c>
      <c r="C30" s="19"/>
      <c r="D30" s="19">
        <v>38</v>
      </c>
      <c r="E30" s="19">
        <f t="shared" si="8"/>
        <v>0.74509803921568629</v>
      </c>
      <c r="F30" s="19">
        <v>38</v>
      </c>
      <c r="G30" s="19">
        <f t="shared" si="9"/>
        <v>0.74509803921568629</v>
      </c>
      <c r="H30" s="19">
        <v>38</v>
      </c>
      <c r="I30" s="19">
        <f t="shared" si="10"/>
        <v>0.74509803921568629</v>
      </c>
      <c r="J30" s="19">
        <v>36</v>
      </c>
      <c r="K30" s="19">
        <f t="shared" si="11"/>
        <v>0.70588235294117652</v>
      </c>
      <c r="L30" s="20">
        <v>63</v>
      </c>
      <c r="M30" s="20" t="e">
        <f>#REF!/L30</f>
        <v>#REF!</v>
      </c>
      <c r="N30" s="20">
        <f t="shared" si="12"/>
        <v>0.80952380952380953</v>
      </c>
    </row>
    <row r="31" spans="1:16" ht="15.75" customHeight="1" x14ac:dyDescent="0.2">
      <c r="A31" s="19" t="s">
        <v>335</v>
      </c>
      <c r="B31" s="19">
        <v>10</v>
      </c>
      <c r="C31" s="19"/>
      <c r="D31" s="19">
        <v>7</v>
      </c>
      <c r="E31" s="19">
        <f t="shared" si="8"/>
        <v>0.7</v>
      </c>
      <c r="F31" s="19">
        <v>7</v>
      </c>
      <c r="G31" s="19">
        <f t="shared" si="9"/>
        <v>0.7</v>
      </c>
      <c r="H31" s="19">
        <v>7</v>
      </c>
      <c r="I31" s="19">
        <f t="shared" si="10"/>
        <v>0.7</v>
      </c>
      <c r="J31" s="19">
        <v>7</v>
      </c>
      <c r="K31" s="19">
        <f t="shared" si="11"/>
        <v>0.7</v>
      </c>
      <c r="L31" s="20">
        <v>11</v>
      </c>
      <c r="M31" s="20" t="e">
        <f>#REF!/L31</f>
        <v>#REF!</v>
      </c>
      <c r="N31" s="20">
        <f t="shared" si="12"/>
        <v>0.90909090909090906</v>
      </c>
    </row>
    <row r="32" spans="1:16" ht="15.75" customHeight="1" x14ac:dyDescent="0.2">
      <c r="A32" s="19" t="s">
        <v>336</v>
      </c>
      <c r="B32" s="19">
        <v>26</v>
      </c>
      <c r="C32" s="19"/>
      <c r="D32" s="19">
        <v>19</v>
      </c>
      <c r="E32" s="19">
        <f t="shared" si="8"/>
        <v>0.73076923076923073</v>
      </c>
      <c r="F32" s="19">
        <v>19</v>
      </c>
      <c r="G32" s="19">
        <f t="shared" si="9"/>
        <v>0.73076923076923073</v>
      </c>
      <c r="H32" s="19">
        <v>18</v>
      </c>
      <c r="I32" s="19">
        <f t="shared" si="10"/>
        <v>0.69230769230769229</v>
      </c>
      <c r="J32" s="19">
        <v>18</v>
      </c>
      <c r="K32" s="19">
        <f t="shared" si="11"/>
        <v>0.69230769230769229</v>
      </c>
      <c r="L32" s="20">
        <v>32</v>
      </c>
      <c r="M32" s="20" t="e">
        <f>#REF!/L32</f>
        <v>#REF!</v>
      </c>
      <c r="N32" s="20">
        <f t="shared" si="12"/>
        <v>0.8125</v>
      </c>
    </row>
    <row r="33" spans="1:34" ht="15.75" customHeight="1" x14ac:dyDescent="0.2">
      <c r="A33" s="19" t="s">
        <v>338</v>
      </c>
      <c r="B33" s="19">
        <v>68</v>
      </c>
      <c r="C33" s="19"/>
      <c r="D33" s="19">
        <v>61</v>
      </c>
      <c r="E33" s="19">
        <f t="shared" si="8"/>
        <v>0.8970588235294118</v>
      </c>
      <c r="F33" s="19">
        <v>60</v>
      </c>
      <c r="G33" s="19">
        <f t="shared" si="9"/>
        <v>0.88235294117647056</v>
      </c>
      <c r="H33" s="19">
        <v>60</v>
      </c>
      <c r="I33" s="19">
        <f t="shared" si="10"/>
        <v>0.88235294117647056</v>
      </c>
      <c r="J33" s="19">
        <v>60</v>
      </c>
      <c r="K33" s="19">
        <f t="shared" si="11"/>
        <v>0.88235294117647056</v>
      </c>
      <c r="L33" s="20">
        <v>94</v>
      </c>
      <c r="M33" s="20" t="e">
        <f>#REF!/L33</f>
        <v>#REF!</v>
      </c>
      <c r="N33" s="20">
        <f t="shared" si="12"/>
        <v>0.72340425531914898</v>
      </c>
    </row>
    <row r="34" spans="1:34" ht="15.75" customHeight="1" x14ac:dyDescent="0.2">
      <c r="A34" s="19" t="s">
        <v>339</v>
      </c>
      <c r="B34" s="19">
        <v>7</v>
      </c>
      <c r="C34" s="19"/>
      <c r="D34" s="19">
        <v>5</v>
      </c>
      <c r="E34" s="19">
        <f t="shared" si="8"/>
        <v>0.7142857142857143</v>
      </c>
      <c r="F34" s="19">
        <v>5</v>
      </c>
      <c r="G34" s="19">
        <f t="shared" si="9"/>
        <v>0.7142857142857143</v>
      </c>
      <c r="H34" s="19">
        <v>5</v>
      </c>
      <c r="I34" s="19">
        <f t="shared" si="10"/>
        <v>0.7142857142857143</v>
      </c>
      <c r="J34" s="19">
        <v>4</v>
      </c>
      <c r="K34" s="19">
        <f t="shared" si="11"/>
        <v>0.5714285714285714</v>
      </c>
      <c r="L34" s="20">
        <v>12</v>
      </c>
      <c r="M34" s="20" t="e">
        <f>#REF!/L34</f>
        <v>#REF!</v>
      </c>
      <c r="N34" s="20">
        <f t="shared" si="12"/>
        <v>0.58333333333333337</v>
      </c>
    </row>
    <row r="35" spans="1:34" ht="15.75" customHeight="1" x14ac:dyDescent="0.2">
      <c r="A35" s="19" t="s">
        <v>344</v>
      </c>
      <c r="B35" s="19">
        <v>164</v>
      </c>
      <c r="C35" s="19"/>
      <c r="D35" s="19">
        <v>130</v>
      </c>
      <c r="E35" s="19">
        <f t="shared" si="8"/>
        <v>0.79268292682926833</v>
      </c>
      <c r="F35" s="19">
        <v>129</v>
      </c>
      <c r="G35" s="19">
        <f t="shared" si="9"/>
        <v>0.78658536585365857</v>
      </c>
      <c r="H35" s="19">
        <v>128</v>
      </c>
      <c r="I35" s="19">
        <f t="shared" si="10"/>
        <v>0.78048780487804881</v>
      </c>
      <c r="J35" s="19">
        <v>125</v>
      </c>
      <c r="K35" s="19">
        <f t="shared" si="11"/>
        <v>0.76219512195121952</v>
      </c>
      <c r="L35" s="20">
        <v>232</v>
      </c>
      <c r="M35" s="20" t="e">
        <f>#REF!/L35</f>
        <v>#REF!</v>
      </c>
      <c r="N35" s="20">
        <f>B15/L35</f>
        <v>0.78017241379310343</v>
      </c>
    </row>
    <row r="36" spans="1:34" ht="15.75" customHeight="1" x14ac:dyDescent="0.2">
      <c r="L36" s="18" t="s">
        <v>341</v>
      </c>
    </row>
    <row r="37" spans="1:34" ht="15.75" customHeight="1" x14ac:dyDescent="0.2"/>
    <row r="38" spans="1:34" ht="15.75" customHeight="1" x14ac:dyDescent="0.2">
      <c r="A38" s="26" t="s">
        <v>361</v>
      </c>
    </row>
    <row r="39" spans="1:34" ht="15.75" customHeight="1" x14ac:dyDescent="0.2">
      <c r="A39" s="26"/>
      <c r="B39" s="26" t="s">
        <v>342</v>
      </c>
      <c r="C39" s="26" t="s">
        <v>4</v>
      </c>
      <c r="D39" s="26" t="s">
        <v>325</v>
      </c>
      <c r="E39" s="26" t="s">
        <v>6</v>
      </c>
      <c r="F39" s="26" t="s">
        <v>325</v>
      </c>
      <c r="G39" s="26" t="s">
        <v>8</v>
      </c>
      <c r="H39" s="26" t="s">
        <v>325</v>
      </c>
      <c r="I39" s="26" t="s">
        <v>346</v>
      </c>
      <c r="J39" s="26" t="s">
        <v>325</v>
      </c>
      <c r="K39" s="26" t="s">
        <v>347</v>
      </c>
      <c r="L39" s="26" t="s">
        <v>325</v>
      </c>
      <c r="M39" s="26" t="s">
        <v>348</v>
      </c>
      <c r="N39" s="26" t="s">
        <v>325</v>
      </c>
      <c r="O39" s="27" t="s">
        <v>329</v>
      </c>
      <c r="P39" s="31" t="s">
        <v>320</v>
      </c>
      <c r="Q39" s="32" t="s">
        <v>357</v>
      </c>
      <c r="R39" s="34" t="s">
        <v>322</v>
      </c>
      <c r="S39" s="35" t="s">
        <v>358</v>
      </c>
      <c r="T39" s="37" t="s">
        <v>326</v>
      </c>
      <c r="U39" s="38" t="s">
        <v>359</v>
      </c>
      <c r="V39" s="28" t="s">
        <v>330</v>
      </c>
      <c r="W39" s="29" t="s">
        <v>360</v>
      </c>
      <c r="X39" s="29"/>
      <c r="Y39" s="29"/>
      <c r="Z39" s="29"/>
      <c r="AA39" s="29"/>
      <c r="AB39" s="29"/>
      <c r="AC39" s="29"/>
      <c r="AD39" s="29"/>
      <c r="AE39" s="29"/>
      <c r="AF39" s="29"/>
      <c r="AG39" s="29"/>
      <c r="AH39" s="29"/>
    </row>
    <row r="40" spans="1:34" ht="15.75" customHeight="1" x14ac:dyDescent="0.2">
      <c r="A40" s="26" t="s">
        <v>332</v>
      </c>
      <c r="B40" s="26">
        <v>143</v>
      </c>
      <c r="C40" s="26">
        <v>116</v>
      </c>
      <c r="D40" s="26">
        <f>C40/B40</f>
        <v>0.81118881118881114</v>
      </c>
      <c r="E40" s="26">
        <v>113</v>
      </c>
      <c r="F40" s="26">
        <f>E40/B40</f>
        <v>0.79020979020979021</v>
      </c>
      <c r="G40" s="26">
        <v>115</v>
      </c>
      <c r="H40" s="26">
        <f>G40/B40</f>
        <v>0.80419580419580416</v>
      </c>
      <c r="I40" s="26">
        <v>112</v>
      </c>
      <c r="J40" s="26">
        <f>I40/B40</f>
        <v>0.78321678321678323</v>
      </c>
      <c r="K40" s="26">
        <v>114</v>
      </c>
      <c r="L40" s="26">
        <f>K40/B40</f>
        <v>0.79720279720279719</v>
      </c>
      <c r="M40" s="26">
        <v>114</v>
      </c>
      <c r="N40" s="27">
        <f>M40/B40</f>
        <v>0.79720279720279719</v>
      </c>
      <c r="O40" s="20">
        <v>198</v>
      </c>
      <c r="P40" s="32">
        <v>101</v>
      </c>
      <c r="Q40" s="33">
        <f>P40/B40</f>
        <v>0.70629370629370625</v>
      </c>
      <c r="R40" s="35">
        <v>111</v>
      </c>
      <c r="S40" s="36">
        <f>R40/B40</f>
        <v>0.77622377622377625</v>
      </c>
      <c r="T40" s="38">
        <v>104</v>
      </c>
      <c r="U40" s="39">
        <f>T40/B40</f>
        <v>0.72727272727272729</v>
      </c>
      <c r="V40" s="27">
        <f>B40/O40</f>
        <v>0.72222222222222221</v>
      </c>
      <c r="W40" s="29">
        <f>(H40-MAX(Q40,S40,U40))*100</f>
        <v>2.7972027972027913</v>
      </c>
      <c r="X40" s="29"/>
      <c r="Y40" s="29"/>
      <c r="Z40" s="29"/>
      <c r="AA40" s="29"/>
      <c r="AB40" s="29"/>
      <c r="AC40" s="29"/>
      <c r="AD40" s="29"/>
      <c r="AE40" s="29"/>
      <c r="AF40" s="29"/>
      <c r="AG40" s="29"/>
    </row>
    <row r="41" spans="1:34" ht="15.75" customHeight="1" x14ac:dyDescent="0.2">
      <c r="A41" s="26" t="s">
        <v>333</v>
      </c>
      <c r="B41" s="26">
        <v>21</v>
      </c>
      <c r="C41" s="26">
        <v>15</v>
      </c>
      <c r="D41" s="26">
        <f t="shared" ref="D41:D46" si="13">C41/B41</f>
        <v>0.7142857142857143</v>
      </c>
      <c r="E41" s="26">
        <v>15</v>
      </c>
      <c r="F41" s="26">
        <f t="shared" ref="F41:F47" si="14">E41/B41</f>
        <v>0.7142857142857143</v>
      </c>
      <c r="G41" s="26">
        <v>15</v>
      </c>
      <c r="H41" s="26">
        <f t="shared" ref="H41:H47" si="15">G41/B41</f>
        <v>0.7142857142857143</v>
      </c>
      <c r="I41" s="26">
        <v>15</v>
      </c>
      <c r="J41" s="26">
        <f t="shared" ref="J41:J47" si="16">I41/B41</f>
        <v>0.7142857142857143</v>
      </c>
      <c r="K41" s="26">
        <v>15</v>
      </c>
      <c r="L41" s="26">
        <f t="shared" ref="L41:L47" si="17">K41/B41</f>
        <v>0.7142857142857143</v>
      </c>
      <c r="M41" s="26">
        <v>15</v>
      </c>
      <c r="N41" s="27">
        <f t="shared" ref="N41:N47" si="18">M41/B41</f>
        <v>0.7142857142857143</v>
      </c>
      <c r="O41" s="20">
        <v>34</v>
      </c>
      <c r="P41" s="32">
        <v>12</v>
      </c>
      <c r="Q41" s="33">
        <f t="shared" ref="Q41:Q47" si="19">P41/B41</f>
        <v>0.5714285714285714</v>
      </c>
      <c r="R41" s="35">
        <v>12</v>
      </c>
      <c r="S41" s="36">
        <f t="shared" ref="S41:S47" si="20">R41/B41</f>
        <v>0.5714285714285714</v>
      </c>
      <c r="T41" s="38">
        <v>13</v>
      </c>
      <c r="U41" s="39">
        <f t="shared" ref="U41:U47" si="21">T41/B41</f>
        <v>0.61904761904761907</v>
      </c>
      <c r="V41" s="27">
        <f t="shared" ref="V41:V47" si="22">B41/O41</f>
        <v>0.61764705882352944</v>
      </c>
      <c r="W41" s="29">
        <f>(H41-MAX(Q41,S41,U41))*100</f>
        <v>9.5238095238095237</v>
      </c>
      <c r="X41" s="29"/>
      <c r="Y41" s="29"/>
      <c r="Z41" s="29"/>
      <c r="AA41" s="29"/>
      <c r="AB41" s="29"/>
      <c r="AC41" s="29"/>
      <c r="AD41" s="29"/>
      <c r="AE41" s="29"/>
      <c r="AF41" s="29"/>
      <c r="AG41" s="29"/>
    </row>
    <row r="42" spans="1:34" ht="15.75" customHeight="1" x14ac:dyDescent="0.2">
      <c r="A42" s="30" t="s">
        <v>334</v>
      </c>
      <c r="B42" s="26">
        <v>51</v>
      </c>
      <c r="C42" s="26">
        <v>37</v>
      </c>
      <c r="D42" s="26">
        <f t="shared" si="13"/>
        <v>0.72549019607843135</v>
      </c>
      <c r="E42" s="26">
        <v>37</v>
      </c>
      <c r="F42" s="26">
        <f t="shared" si="14"/>
        <v>0.72549019607843135</v>
      </c>
      <c r="G42" s="26">
        <v>37</v>
      </c>
      <c r="H42" s="26">
        <f t="shared" si="15"/>
        <v>0.72549019607843135</v>
      </c>
      <c r="I42" s="26">
        <v>37</v>
      </c>
      <c r="J42" s="26">
        <f t="shared" si="16"/>
        <v>0.72549019607843135</v>
      </c>
      <c r="K42" s="26">
        <v>37</v>
      </c>
      <c r="L42" s="26">
        <f t="shared" si="17"/>
        <v>0.72549019607843135</v>
      </c>
      <c r="M42" s="26">
        <v>37</v>
      </c>
      <c r="N42" s="27">
        <f t="shared" si="18"/>
        <v>0.72549019607843135</v>
      </c>
      <c r="O42" s="20">
        <v>63</v>
      </c>
      <c r="P42" s="32">
        <v>33</v>
      </c>
      <c r="Q42" s="33">
        <f t="shared" si="19"/>
        <v>0.6470588235294118</v>
      </c>
      <c r="R42" s="35">
        <v>39</v>
      </c>
      <c r="S42" s="36">
        <f t="shared" si="20"/>
        <v>0.76470588235294112</v>
      </c>
      <c r="T42" s="38">
        <v>35</v>
      </c>
      <c r="U42" s="39">
        <f t="shared" si="21"/>
        <v>0.68627450980392157</v>
      </c>
      <c r="V42" s="27">
        <f t="shared" si="22"/>
        <v>0.80952380952380953</v>
      </c>
      <c r="W42" s="29">
        <f>(H42-MAX(Q42,S42,U42))*100</f>
        <v>-3.9215686274509776</v>
      </c>
      <c r="X42" s="29"/>
      <c r="Y42" s="29"/>
      <c r="Z42" s="29"/>
      <c r="AA42" s="29"/>
      <c r="AB42" s="29"/>
      <c r="AC42" s="29"/>
      <c r="AD42" s="29"/>
      <c r="AE42" s="29"/>
      <c r="AF42" s="29"/>
      <c r="AG42" s="29"/>
    </row>
    <row r="43" spans="1:34" ht="15.75" customHeight="1" x14ac:dyDescent="0.2">
      <c r="A43" s="26" t="s">
        <v>335</v>
      </c>
      <c r="B43" s="26">
        <v>10</v>
      </c>
      <c r="C43" s="26">
        <v>8</v>
      </c>
      <c r="D43" s="26">
        <f>C43/B43</f>
        <v>0.8</v>
      </c>
      <c r="E43" s="26">
        <v>8</v>
      </c>
      <c r="F43" s="26">
        <f t="shared" si="14"/>
        <v>0.8</v>
      </c>
      <c r="G43" s="26">
        <v>8</v>
      </c>
      <c r="H43" s="26">
        <f t="shared" si="15"/>
        <v>0.8</v>
      </c>
      <c r="I43" s="26">
        <v>8</v>
      </c>
      <c r="J43" s="26">
        <f>I43/B43</f>
        <v>0.8</v>
      </c>
      <c r="K43" s="26">
        <v>8</v>
      </c>
      <c r="L43" s="26">
        <f>K43/B43</f>
        <v>0.8</v>
      </c>
      <c r="M43" s="26">
        <v>8</v>
      </c>
      <c r="N43" s="27">
        <f>M43/B43</f>
        <v>0.8</v>
      </c>
      <c r="O43" s="20">
        <v>11</v>
      </c>
      <c r="P43" s="32">
        <v>6</v>
      </c>
      <c r="Q43" s="33">
        <f t="shared" si="19"/>
        <v>0.6</v>
      </c>
      <c r="R43" s="35">
        <v>6</v>
      </c>
      <c r="S43" s="36">
        <f t="shared" si="20"/>
        <v>0.6</v>
      </c>
      <c r="T43" s="38">
        <v>6</v>
      </c>
      <c r="U43" s="39">
        <f t="shared" si="21"/>
        <v>0.6</v>
      </c>
      <c r="V43" s="27">
        <f t="shared" si="22"/>
        <v>0.90909090909090906</v>
      </c>
      <c r="W43" s="29">
        <f t="shared" ref="W43:W47" si="23">(H43-MAX(Q43,S43,U43))*100</f>
        <v>20.000000000000007</v>
      </c>
      <c r="X43" s="29"/>
      <c r="Y43" s="29"/>
      <c r="Z43" s="29"/>
      <c r="AA43" s="29"/>
      <c r="AB43" s="29"/>
      <c r="AC43" s="29"/>
      <c r="AD43" s="29"/>
      <c r="AE43" s="29"/>
      <c r="AF43" s="29"/>
      <c r="AG43" s="29"/>
    </row>
    <row r="44" spans="1:34" ht="15.75" customHeight="1" x14ac:dyDescent="0.2">
      <c r="A44" s="26" t="s">
        <v>336</v>
      </c>
      <c r="B44" s="26">
        <v>26</v>
      </c>
      <c r="C44" s="26">
        <v>19</v>
      </c>
      <c r="D44" s="26">
        <f t="shared" si="13"/>
        <v>0.73076923076923073</v>
      </c>
      <c r="E44" s="26">
        <v>18</v>
      </c>
      <c r="F44" s="26">
        <f t="shared" si="14"/>
        <v>0.69230769230769229</v>
      </c>
      <c r="G44" s="26">
        <v>19</v>
      </c>
      <c r="H44" s="26">
        <f t="shared" si="15"/>
        <v>0.73076923076923073</v>
      </c>
      <c r="I44" s="26">
        <v>18</v>
      </c>
      <c r="J44" s="26">
        <f t="shared" si="16"/>
        <v>0.69230769230769229</v>
      </c>
      <c r="K44" s="26">
        <v>19</v>
      </c>
      <c r="L44" s="26">
        <f t="shared" si="17"/>
        <v>0.73076923076923073</v>
      </c>
      <c r="M44" s="26">
        <v>18</v>
      </c>
      <c r="N44" s="27">
        <f t="shared" si="18"/>
        <v>0.69230769230769229</v>
      </c>
      <c r="O44" s="20">
        <v>32</v>
      </c>
      <c r="P44" s="32">
        <v>17</v>
      </c>
      <c r="Q44" s="33">
        <f t="shared" si="19"/>
        <v>0.65384615384615385</v>
      </c>
      <c r="R44" s="35">
        <v>20</v>
      </c>
      <c r="S44" s="36">
        <f t="shared" si="20"/>
        <v>0.76923076923076927</v>
      </c>
      <c r="T44" s="38">
        <v>18</v>
      </c>
      <c r="U44" s="39">
        <f t="shared" si="21"/>
        <v>0.69230769230769229</v>
      </c>
      <c r="V44" s="27">
        <f t="shared" si="22"/>
        <v>0.8125</v>
      </c>
      <c r="W44" s="29">
        <f t="shared" si="23"/>
        <v>-3.8461538461538547</v>
      </c>
      <c r="X44" s="29"/>
      <c r="Y44" s="29"/>
      <c r="Z44" s="29"/>
      <c r="AA44" s="29"/>
      <c r="AB44" s="29"/>
      <c r="AC44" s="29"/>
      <c r="AD44" s="29"/>
      <c r="AE44" s="29"/>
      <c r="AF44" s="29"/>
      <c r="AG44" s="29"/>
    </row>
    <row r="45" spans="1:34" ht="15.75" customHeight="1" x14ac:dyDescent="0.2">
      <c r="A45" s="26" t="s">
        <v>338</v>
      </c>
      <c r="B45" s="26">
        <v>69</v>
      </c>
      <c r="C45" s="26">
        <v>62</v>
      </c>
      <c r="D45" s="26">
        <f t="shared" si="13"/>
        <v>0.89855072463768115</v>
      </c>
      <c r="E45" s="26">
        <v>60</v>
      </c>
      <c r="F45" s="26">
        <f t="shared" si="14"/>
        <v>0.86956521739130432</v>
      </c>
      <c r="G45" s="26">
        <v>61</v>
      </c>
      <c r="H45" s="26">
        <f t="shared" si="15"/>
        <v>0.88405797101449279</v>
      </c>
      <c r="I45" s="26">
        <v>60</v>
      </c>
      <c r="J45" s="26">
        <f t="shared" si="16"/>
        <v>0.86956521739130432</v>
      </c>
      <c r="K45" s="26">
        <v>61</v>
      </c>
      <c r="L45" s="26">
        <f t="shared" si="17"/>
        <v>0.88405797101449279</v>
      </c>
      <c r="M45" s="26">
        <v>61</v>
      </c>
      <c r="N45" s="27">
        <f t="shared" si="18"/>
        <v>0.88405797101449279</v>
      </c>
      <c r="O45" s="20">
        <v>94</v>
      </c>
      <c r="P45" s="32">
        <v>53</v>
      </c>
      <c r="Q45" s="33">
        <f t="shared" si="19"/>
        <v>0.76811594202898548</v>
      </c>
      <c r="R45" s="35">
        <v>55</v>
      </c>
      <c r="S45" s="36">
        <f t="shared" si="20"/>
        <v>0.79710144927536231</v>
      </c>
      <c r="T45" s="38">
        <v>55</v>
      </c>
      <c r="U45" s="39">
        <f t="shared" si="21"/>
        <v>0.79710144927536231</v>
      </c>
      <c r="V45" s="27">
        <f t="shared" si="22"/>
        <v>0.73404255319148937</v>
      </c>
      <c r="W45" s="29">
        <f t="shared" si="23"/>
        <v>8.6956521739130483</v>
      </c>
      <c r="X45" s="29"/>
      <c r="Y45" s="29"/>
      <c r="Z45" s="29"/>
      <c r="AA45" s="29"/>
      <c r="AB45" s="29"/>
      <c r="AC45" s="29"/>
      <c r="AD45" s="29"/>
      <c r="AE45" s="29"/>
      <c r="AF45" s="29"/>
      <c r="AG45" s="29"/>
    </row>
    <row r="46" spans="1:34" ht="15.75" customHeight="1" x14ac:dyDescent="0.2">
      <c r="A46" s="26" t="s">
        <v>339</v>
      </c>
      <c r="B46" s="26">
        <v>7</v>
      </c>
      <c r="C46" s="26">
        <v>5</v>
      </c>
      <c r="D46" s="26">
        <f t="shared" si="13"/>
        <v>0.7142857142857143</v>
      </c>
      <c r="E46" s="26">
        <v>5</v>
      </c>
      <c r="F46" s="26">
        <f t="shared" si="14"/>
        <v>0.7142857142857143</v>
      </c>
      <c r="G46" s="26">
        <v>5</v>
      </c>
      <c r="H46" s="26">
        <f t="shared" si="15"/>
        <v>0.7142857142857143</v>
      </c>
      <c r="I46" s="26">
        <v>4</v>
      </c>
      <c r="J46" s="26">
        <f t="shared" si="16"/>
        <v>0.5714285714285714</v>
      </c>
      <c r="K46" s="26">
        <v>5</v>
      </c>
      <c r="L46" s="26">
        <f t="shared" si="17"/>
        <v>0.7142857142857143</v>
      </c>
      <c r="M46" s="26">
        <v>5</v>
      </c>
      <c r="N46" s="27">
        <f t="shared" si="18"/>
        <v>0.7142857142857143</v>
      </c>
      <c r="O46" s="20">
        <v>12</v>
      </c>
      <c r="P46" s="32">
        <v>4</v>
      </c>
      <c r="Q46" s="33">
        <f t="shared" si="19"/>
        <v>0.5714285714285714</v>
      </c>
      <c r="R46" s="35">
        <v>3</v>
      </c>
      <c r="S46" s="36">
        <f t="shared" si="20"/>
        <v>0.42857142857142855</v>
      </c>
      <c r="T46" s="38">
        <v>3</v>
      </c>
      <c r="U46" s="39">
        <f t="shared" si="21"/>
        <v>0.42857142857142855</v>
      </c>
      <c r="V46" s="27">
        <f t="shared" si="22"/>
        <v>0.58333333333333337</v>
      </c>
      <c r="W46" s="29">
        <f t="shared" si="23"/>
        <v>14.28571428571429</v>
      </c>
      <c r="X46" s="29"/>
      <c r="Y46" s="29"/>
      <c r="Z46" s="29"/>
      <c r="AA46" s="29"/>
      <c r="AB46" s="29"/>
      <c r="AC46" s="29"/>
      <c r="AD46" s="29"/>
      <c r="AE46" s="29"/>
      <c r="AF46" s="29"/>
      <c r="AG46" s="29"/>
    </row>
    <row r="47" spans="1:34" ht="15.75" customHeight="1" x14ac:dyDescent="0.2">
      <c r="A47" s="26" t="s">
        <v>344</v>
      </c>
      <c r="B47" s="26">
        <v>164</v>
      </c>
      <c r="C47" s="26">
        <v>131</v>
      </c>
      <c r="D47" s="26">
        <f>C47/B47</f>
        <v>0.79878048780487809</v>
      </c>
      <c r="E47" s="26">
        <v>128</v>
      </c>
      <c r="F47" s="26">
        <f t="shared" si="14"/>
        <v>0.78048780487804881</v>
      </c>
      <c r="G47" s="26">
        <v>130</v>
      </c>
      <c r="H47" s="26">
        <f t="shared" si="15"/>
        <v>0.79268292682926833</v>
      </c>
      <c r="I47" s="26">
        <v>127</v>
      </c>
      <c r="J47" s="26">
        <f t="shared" si="16"/>
        <v>0.77439024390243905</v>
      </c>
      <c r="K47" s="26">
        <v>129</v>
      </c>
      <c r="L47" s="26">
        <f t="shared" si="17"/>
        <v>0.78658536585365857</v>
      </c>
      <c r="M47" s="26">
        <v>128</v>
      </c>
      <c r="N47" s="27">
        <f t="shared" si="18"/>
        <v>0.78048780487804881</v>
      </c>
      <c r="O47" s="20">
        <v>232</v>
      </c>
      <c r="P47" s="32">
        <v>113</v>
      </c>
      <c r="Q47" s="33">
        <f t="shared" si="19"/>
        <v>0.68902439024390238</v>
      </c>
      <c r="R47" s="35">
        <v>123</v>
      </c>
      <c r="S47" s="36">
        <f t="shared" si="20"/>
        <v>0.75</v>
      </c>
      <c r="T47" s="38">
        <v>117</v>
      </c>
      <c r="U47" s="39">
        <f t="shared" si="21"/>
        <v>0.71341463414634143</v>
      </c>
      <c r="V47" s="27">
        <f t="shared" si="22"/>
        <v>0.7068965517241379</v>
      </c>
      <c r="W47" s="29">
        <f t="shared" si="23"/>
        <v>4.2682926829268331</v>
      </c>
      <c r="X47" s="29"/>
      <c r="Y47" s="29"/>
      <c r="Z47" s="29"/>
      <c r="AA47" s="29"/>
      <c r="AB47" s="29"/>
      <c r="AC47" s="29"/>
      <c r="AD47" s="29"/>
      <c r="AE47" s="29"/>
      <c r="AF47" s="29"/>
      <c r="AG47" s="29"/>
    </row>
    <row r="48" spans="1:34" ht="15.75" customHeight="1" x14ac:dyDescent="0.2"/>
    <row r="49" spans="1:30" ht="15.75" customHeight="1" x14ac:dyDescent="0.2"/>
    <row r="50" spans="1:30" ht="42" customHeight="1" x14ac:dyDescent="0.2">
      <c r="A50" s="60" t="s">
        <v>362</v>
      </c>
      <c r="B50" s="60" t="s">
        <v>342</v>
      </c>
      <c r="C50" s="60" t="s">
        <v>4</v>
      </c>
      <c r="D50" s="60" t="s">
        <v>325</v>
      </c>
      <c r="E50" s="60" t="s">
        <v>8</v>
      </c>
      <c r="F50" s="60" t="s">
        <v>325</v>
      </c>
      <c r="G50" s="60" t="s">
        <v>347</v>
      </c>
      <c r="H50" s="60" t="s">
        <v>325</v>
      </c>
      <c r="I50" s="60" t="s">
        <v>10</v>
      </c>
      <c r="J50" s="60" t="s">
        <v>325</v>
      </c>
      <c r="K50" s="61" t="s">
        <v>329</v>
      </c>
      <c r="L50" s="62" t="s">
        <v>320</v>
      </c>
      <c r="M50" s="63" t="s">
        <v>357</v>
      </c>
      <c r="N50" s="64" t="s">
        <v>322</v>
      </c>
      <c r="O50" s="65" t="s">
        <v>358</v>
      </c>
      <c r="P50" s="66" t="s">
        <v>326</v>
      </c>
      <c r="Q50" s="67" t="s">
        <v>359</v>
      </c>
      <c r="R50" s="68" t="s">
        <v>330</v>
      </c>
      <c r="S50" s="69" t="s">
        <v>366</v>
      </c>
      <c r="T50" s="29" t="s">
        <v>367</v>
      </c>
      <c r="U50" s="29" t="s">
        <v>368</v>
      </c>
      <c r="V50" s="29"/>
      <c r="W50" s="29"/>
      <c r="X50" s="29"/>
      <c r="Y50" s="29"/>
      <c r="Z50" s="29"/>
      <c r="AA50" s="29"/>
      <c r="AB50" s="29"/>
      <c r="AC50" s="29"/>
      <c r="AD50" s="29"/>
    </row>
    <row r="51" spans="1:30" ht="15.75" customHeight="1" x14ac:dyDescent="0.2">
      <c r="A51" s="60" t="s">
        <v>332</v>
      </c>
      <c r="B51" s="60">
        <v>181</v>
      </c>
      <c r="C51" s="60">
        <v>153</v>
      </c>
      <c r="D51" s="60">
        <f>C51/B51</f>
        <v>0.84530386740331487</v>
      </c>
      <c r="E51" s="60">
        <v>150</v>
      </c>
      <c r="F51" s="60">
        <f t="shared" ref="F51:F59" si="24">E51/B51</f>
        <v>0.82872928176795579</v>
      </c>
      <c r="G51" s="60">
        <v>138</v>
      </c>
      <c r="H51" s="60">
        <f t="shared" ref="H51:H59" si="25">G51/B51</f>
        <v>0.76243093922651939</v>
      </c>
      <c r="I51" s="60">
        <v>145</v>
      </c>
      <c r="J51" s="60">
        <f>I51/B51</f>
        <v>0.80110497237569056</v>
      </c>
      <c r="K51" s="70">
        <v>198</v>
      </c>
      <c r="L51" s="63">
        <v>125</v>
      </c>
      <c r="M51" s="71">
        <f t="shared" ref="M51:M59" si="26">L51/B51</f>
        <v>0.69060773480662985</v>
      </c>
      <c r="N51" s="65">
        <v>140</v>
      </c>
      <c r="O51" s="72">
        <f t="shared" ref="O51:O59" si="27">N51/B51</f>
        <v>0.77348066298342544</v>
      </c>
      <c r="P51" s="67">
        <v>129</v>
      </c>
      <c r="Q51" s="73">
        <f t="shared" ref="Q51:Q59" si="28">P51/B51</f>
        <v>0.71270718232044195</v>
      </c>
      <c r="R51" s="61">
        <f t="shared" ref="R51:R56" si="29">B51/K51</f>
        <v>0.91414141414141414</v>
      </c>
      <c r="S51" s="69">
        <f t="shared" ref="S51:S59" si="30">(F51-MAX(M51,O51,Q51))*100</f>
        <v>5.5248618784530361</v>
      </c>
      <c r="T51" s="69">
        <f t="shared" ref="T51:T59" si="31">(D51-MAX(M51,O51,Q51))*100</f>
        <v>7.182320441988943</v>
      </c>
      <c r="U51" s="69">
        <f>(J51-MAX(M51,O51,Q51))*100</f>
        <v>2.7624309392265123</v>
      </c>
      <c r="V51" s="29"/>
      <c r="W51" s="29"/>
      <c r="X51" s="29"/>
      <c r="Y51" s="29"/>
      <c r="Z51" s="29"/>
      <c r="AA51" s="29"/>
      <c r="AB51" s="29"/>
      <c r="AC51" s="29"/>
    </row>
    <row r="52" spans="1:30" ht="15.75" customHeight="1" x14ac:dyDescent="0.2">
      <c r="A52" s="60" t="s">
        <v>333</v>
      </c>
      <c r="B52" s="60">
        <v>28</v>
      </c>
      <c r="C52" s="60">
        <v>19</v>
      </c>
      <c r="D52" s="60">
        <f t="shared" ref="D52:D53" si="32">C52/B52</f>
        <v>0.6785714285714286</v>
      </c>
      <c r="E52" s="60">
        <v>19</v>
      </c>
      <c r="F52" s="60">
        <f t="shared" si="24"/>
        <v>0.6785714285714286</v>
      </c>
      <c r="G52" s="60">
        <v>19</v>
      </c>
      <c r="H52" s="60">
        <f t="shared" si="25"/>
        <v>0.6785714285714286</v>
      </c>
      <c r="I52" s="60">
        <v>19</v>
      </c>
      <c r="J52" s="60">
        <f t="shared" ref="J52:J59" si="33">I52/B52</f>
        <v>0.6785714285714286</v>
      </c>
      <c r="K52" s="70">
        <v>34</v>
      </c>
      <c r="L52" s="63">
        <v>17</v>
      </c>
      <c r="M52" s="71">
        <f t="shared" si="26"/>
        <v>0.6071428571428571</v>
      </c>
      <c r="N52" s="65">
        <v>18</v>
      </c>
      <c r="O52" s="72">
        <f t="shared" si="27"/>
        <v>0.6428571428571429</v>
      </c>
      <c r="P52" s="67">
        <v>16</v>
      </c>
      <c r="Q52" s="73">
        <f t="shared" si="28"/>
        <v>0.5714285714285714</v>
      </c>
      <c r="R52" s="61">
        <f t="shared" si="29"/>
        <v>0.82352941176470584</v>
      </c>
      <c r="S52" s="69">
        <f t="shared" si="30"/>
        <v>3.5714285714285698</v>
      </c>
      <c r="T52" s="69">
        <f t="shared" si="31"/>
        <v>3.5714285714285698</v>
      </c>
      <c r="U52" s="69">
        <f t="shared" ref="U52:U59" si="34">(J52-MAX(M52,O52,Q52))*100</f>
        <v>3.5714285714285698</v>
      </c>
      <c r="V52" s="29"/>
      <c r="W52" s="29"/>
      <c r="X52" s="29"/>
      <c r="Y52" s="29"/>
      <c r="Z52" s="29"/>
      <c r="AA52" s="29"/>
      <c r="AB52" s="29"/>
      <c r="AC52" s="29"/>
    </row>
    <row r="53" spans="1:30" ht="15.75" customHeight="1" x14ac:dyDescent="0.2">
      <c r="A53" s="74" t="s">
        <v>334</v>
      </c>
      <c r="B53" s="60">
        <v>61</v>
      </c>
      <c r="C53" s="60">
        <v>47</v>
      </c>
      <c r="D53" s="60">
        <f t="shared" si="32"/>
        <v>0.77049180327868849</v>
      </c>
      <c r="E53" s="60">
        <v>47</v>
      </c>
      <c r="F53" s="60">
        <f t="shared" si="24"/>
        <v>0.77049180327868849</v>
      </c>
      <c r="G53" s="60">
        <v>47</v>
      </c>
      <c r="H53" s="60">
        <f t="shared" si="25"/>
        <v>0.77049180327868849</v>
      </c>
      <c r="I53" s="60">
        <v>47</v>
      </c>
      <c r="J53" s="60">
        <f t="shared" si="33"/>
        <v>0.77049180327868849</v>
      </c>
      <c r="K53" s="70">
        <v>63</v>
      </c>
      <c r="L53" s="63">
        <v>39</v>
      </c>
      <c r="M53" s="71">
        <f t="shared" si="26"/>
        <v>0.63934426229508201</v>
      </c>
      <c r="N53" s="65">
        <v>49</v>
      </c>
      <c r="O53" s="72">
        <f t="shared" si="27"/>
        <v>0.80327868852459017</v>
      </c>
      <c r="P53" s="67">
        <v>42</v>
      </c>
      <c r="Q53" s="73">
        <f t="shared" si="28"/>
        <v>0.68852459016393441</v>
      </c>
      <c r="R53" s="61">
        <f t="shared" si="29"/>
        <v>0.96825396825396826</v>
      </c>
      <c r="S53" s="69">
        <f t="shared" si="30"/>
        <v>-3.2786885245901676</v>
      </c>
      <c r="T53" s="69">
        <f t="shared" si="31"/>
        <v>-3.2786885245901676</v>
      </c>
      <c r="U53" s="69">
        <f t="shared" si="34"/>
        <v>-3.2786885245901676</v>
      </c>
      <c r="V53" s="29"/>
      <c r="W53" s="29"/>
      <c r="X53" s="29"/>
      <c r="Y53" s="29"/>
      <c r="Z53" s="29"/>
      <c r="AA53" s="29"/>
      <c r="AB53" s="29"/>
      <c r="AC53" s="29"/>
    </row>
    <row r="54" spans="1:30" ht="15.75" customHeight="1" x14ac:dyDescent="0.2">
      <c r="A54" s="60" t="s">
        <v>335</v>
      </c>
      <c r="B54" s="60">
        <v>11</v>
      </c>
      <c r="C54" s="60">
        <v>9</v>
      </c>
      <c r="D54" s="60">
        <f>C54/B54</f>
        <v>0.81818181818181823</v>
      </c>
      <c r="E54" s="60">
        <v>9</v>
      </c>
      <c r="F54" s="60">
        <f t="shared" si="24"/>
        <v>0.81818181818181823</v>
      </c>
      <c r="G54" s="60">
        <v>9</v>
      </c>
      <c r="H54" s="60">
        <f t="shared" si="25"/>
        <v>0.81818181818181823</v>
      </c>
      <c r="I54" s="60">
        <v>9</v>
      </c>
      <c r="J54" s="60">
        <f t="shared" si="33"/>
        <v>0.81818181818181823</v>
      </c>
      <c r="K54" s="70">
        <v>11</v>
      </c>
      <c r="L54" s="63">
        <v>6</v>
      </c>
      <c r="M54" s="71">
        <f t="shared" si="26"/>
        <v>0.54545454545454541</v>
      </c>
      <c r="N54" s="65">
        <v>7</v>
      </c>
      <c r="O54" s="72">
        <f t="shared" si="27"/>
        <v>0.63636363636363635</v>
      </c>
      <c r="P54" s="67">
        <v>6</v>
      </c>
      <c r="Q54" s="73">
        <f t="shared" si="28"/>
        <v>0.54545454545454541</v>
      </c>
      <c r="R54" s="61">
        <f t="shared" si="29"/>
        <v>1</v>
      </c>
      <c r="S54" s="69">
        <f t="shared" si="30"/>
        <v>18.181818181818187</v>
      </c>
      <c r="T54" s="69">
        <f t="shared" si="31"/>
        <v>18.181818181818187</v>
      </c>
      <c r="U54" s="69">
        <f t="shared" si="34"/>
        <v>18.181818181818187</v>
      </c>
      <c r="V54" s="29"/>
      <c r="W54" s="29"/>
      <c r="X54" s="29"/>
      <c r="Y54" s="29"/>
      <c r="Z54" s="29"/>
      <c r="AA54" s="29"/>
      <c r="AB54" s="29"/>
      <c r="AC54" s="29"/>
    </row>
    <row r="55" spans="1:30" ht="15.75" customHeight="1" x14ac:dyDescent="0.2">
      <c r="A55" s="60" t="s">
        <v>336</v>
      </c>
      <c r="B55" s="60">
        <v>30</v>
      </c>
      <c r="C55" s="60">
        <v>22</v>
      </c>
      <c r="D55" s="60">
        <f t="shared" ref="D55:D58" si="35">C55/B55</f>
        <v>0.73333333333333328</v>
      </c>
      <c r="E55" s="60">
        <v>22</v>
      </c>
      <c r="F55" s="60">
        <f t="shared" si="24"/>
        <v>0.73333333333333328</v>
      </c>
      <c r="G55" s="60">
        <v>22</v>
      </c>
      <c r="H55" s="60">
        <f t="shared" si="25"/>
        <v>0.73333333333333328</v>
      </c>
      <c r="I55" s="60">
        <v>21</v>
      </c>
      <c r="J55" s="60">
        <f t="shared" si="33"/>
        <v>0.7</v>
      </c>
      <c r="K55" s="70">
        <v>32</v>
      </c>
      <c r="L55" s="63">
        <v>19</v>
      </c>
      <c r="M55" s="71">
        <f t="shared" si="26"/>
        <v>0.6333333333333333</v>
      </c>
      <c r="N55" s="65">
        <v>23</v>
      </c>
      <c r="O55" s="72">
        <f t="shared" si="27"/>
        <v>0.76666666666666672</v>
      </c>
      <c r="P55" s="67">
        <v>20</v>
      </c>
      <c r="Q55" s="73">
        <f t="shared" si="28"/>
        <v>0.66666666666666663</v>
      </c>
      <c r="R55" s="61">
        <f t="shared" si="29"/>
        <v>0.9375</v>
      </c>
      <c r="S55" s="69">
        <f t="shared" si="30"/>
        <v>-3.3333333333333437</v>
      </c>
      <c r="T55" s="69">
        <f t="shared" si="31"/>
        <v>-3.3333333333333437</v>
      </c>
      <c r="U55" s="69">
        <f t="shared" si="34"/>
        <v>-6.6666666666666767</v>
      </c>
      <c r="V55" s="29"/>
      <c r="W55" s="29"/>
      <c r="X55" s="29"/>
      <c r="Y55" s="29"/>
      <c r="Z55" s="29"/>
      <c r="AA55" s="29"/>
      <c r="AB55" s="29"/>
      <c r="AC55" s="29"/>
    </row>
    <row r="56" spans="1:30" ht="15.75" customHeight="1" x14ac:dyDescent="0.2">
      <c r="A56" s="60" t="s">
        <v>338</v>
      </c>
      <c r="B56" s="60">
        <v>91</v>
      </c>
      <c r="C56" s="60">
        <v>81</v>
      </c>
      <c r="D56" s="60">
        <f t="shared" si="35"/>
        <v>0.89010989010989006</v>
      </c>
      <c r="E56" s="60">
        <v>80</v>
      </c>
      <c r="F56" s="60">
        <f t="shared" si="24"/>
        <v>0.87912087912087911</v>
      </c>
      <c r="G56" s="60">
        <v>79</v>
      </c>
      <c r="H56" s="60">
        <f t="shared" si="25"/>
        <v>0.86813186813186816</v>
      </c>
      <c r="I56" s="60">
        <v>79</v>
      </c>
      <c r="J56" s="60">
        <f t="shared" si="33"/>
        <v>0.86813186813186816</v>
      </c>
      <c r="K56" s="70">
        <v>94</v>
      </c>
      <c r="L56" s="63">
        <v>68</v>
      </c>
      <c r="M56" s="71">
        <f t="shared" si="26"/>
        <v>0.74725274725274726</v>
      </c>
      <c r="N56" s="65">
        <v>70</v>
      </c>
      <c r="O56" s="72">
        <f t="shared" si="27"/>
        <v>0.76923076923076927</v>
      </c>
      <c r="P56" s="67">
        <v>70</v>
      </c>
      <c r="Q56" s="73">
        <f t="shared" si="28"/>
        <v>0.76923076923076927</v>
      </c>
      <c r="R56" s="61">
        <f t="shared" si="29"/>
        <v>0.96808510638297873</v>
      </c>
      <c r="S56" s="69">
        <f t="shared" si="30"/>
        <v>10.989010989010984</v>
      </c>
      <c r="T56" s="69">
        <f t="shared" si="31"/>
        <v>12.087912087912079</v>
      </c>
      <c r="U56" s="69">
        <f t="shared" si="34"/>
        <v>9.8901098901098887</v>
      </c>
      <c r="V56" s="29"/>
      <c r="W56" s="29"/>
      <c r="X56" s="29"/>
      <c r="Y56" s="29"/>
      <c r="Z56" s="29"/>
      <c r="AA56" s="29"/>
      <c r="AB56" s="29"/>
      <c r="AC56" s="29"/>
    </row>
    <row r="57" spans="1:30" ht="15.75" customHeight="1" x14ac:dyDescent="0.2">
      <c r="A57" s="60" t="s">
        <v>337</v>
      </c>
      <c r="B57" s="60">
        <v>6</v>
      </c>
      <c r="C57" s="60">
        <v>3</v>
      </c>
      <c r="D57" s="60">
        <f t="shared" si="35"/>
        <v>0.5</v>
      </c>
      <c r="E57" s="60">
        <v>3</v>
      </c>
      <c r="F57" s="60">
        <f t="shared" si="24"/>
        <v>0.5</v>
      </c>
      <c r="G57" s="60">
        <v>3</v>
      </c>
      <c r="H57" s="60">
        <f t="shared" si="25"/>
        <v>0.5</v>
      </c>
      <c r="I57" s="60">
        <v>3</v>
      </c>
      <c r="J57" s="60">
        <f t="shared" si="33"/>
        <v>0.5</v>
      </c>
      <c r="K57" s="75"/>
      <c r="L57" s="63">
        <v>5</v>
      </c>
      <c r="M57" s="76">
        <f t="shared" si="26"/>
        <v>0.83333333333333337</v>
      </c>
      <c r="N57" s="65">
        <v>4</v>
      </c>
      <c r="O57" s="77">
        <f t="shared" si="27"/>
        <v>0.66666666666666663</v>
      </c>
      <c r="P57" s="67">
        <v>3</v>
      </c>
      <c r="Q57" s="78">
        <f t="shared" si="28"/>
        <v>0.5</v>
      </c>
      <c r="R57" s="61"/>
      <c r="S57" s="69">
        <f t="shared" si="30"/>
        <v>-33.333333333333336</v>
      </c>
      <c r="T57" s="69">
        <f t="shared" si="31"/>
        <v>-33.333333333333336</v>
      </c>
      <c r="U57" s="69">
        <f t="shared" si="34"/>
        <v>-33.333333333333336</v>
      </c>
      <c r="V57" s="29"/>
      <c r="W57" s="29"/>
      <c r="X57" s="29"/>
      <c r="Y57" s="29"/>
      <c r="Z57" s="29"/>
      <c r="AA57" s="29"/>
      <c r="AB57" s="29"/>
      <c r="AC57" s="29"/>
    </row>
    <row r="58" spans="1:30" ht="15.75" customHeight="1" x14ac:dyDescent="0.2">
      <c r="A58" s="60" t="s">
        <v>339</v>
      </c>
      <c r="B58" s="60">
        <v>12</v>
      </c>
      <c r="C58" s="60">
        <v>10</v>
      </c>
      <c r="D58" s="60">
        <f t="shared" si="35"/>
        <v>0.83333333333333337</v>
      </c>
      <c r="E58" s="60">
        <v>8</v>
      </c>
      <c r="F58" s="60">
        <f t="shared" si="24"/>
        <v>0.66666666666666663</v>
      </c>
      <c r="G58" s="60">
        <v>8</v>
      </c>
      <c r="H58" s="60">
        <f t="shared" si="25"/>
        <v>0.66666666666666663</v>
      </c>
      <c r="I58" s="60">
        <v>7</v>
      </c>
      <c r="J58" s="60">
        <f t="shared" si="33"/>
        <v>0.58333333333333337</v>
      </c>
      <c r="K58" s="70">
        <v>12</v>
      </c>
      <c r="L58" s="63">
        <v>7</v>
      </c>
      <c r="M58" s="71">
        <f t="shared" si="26"/>
        <v>0.58333333333333337</v>
      </c>
      <c r="N58" s="65">
        <v>8</v>
      </c>
      <c r="O58" s="72">
        <f t="shared" si="27"/>
        <v>0.66666666666666663</v>
      </c>
      <c r="P58" s="67">
        <v>6</v>
      </c>
      <c r="Q58" s="73">
        <f t="shared" si="28"/>
        <v>0.5</v>
      </c>
      <c r="R58" s="61">
        <f>B58/K58</f>
        <v>1</v>
      </c>
      <c r="S58" s="69">
        <f t="shared" si="30"/>
        <v>0</v>
      </c>
      <c r="T58" s="69">
        <f t="shared" si="31"/>
        <v>16.666666666666675</v>
      </c>
      <c r="U58" s="69">
        <f t="shared" si="34"/>
        <v>-8.333333333333325</v>
      </c>
      <c r="V58" s="29"/>
      <c r="W58" s="29"/>
      <c r="X58" s="29"/>
      <c r="Y58" s="29"/>
      <c r="Z58" s="29"/>
      <c r="AA58" s="29"/>
      <c r="AB58" s="29"/>
      <c r="AC58" s="29"/>
    </row>
    <row r="59" spans="1:30" ht="15.75" customHeight="1" x14ac:dyDescent="0.2">
      <c r="A59" s="60" t="s">
        <v>344</v>
      </c>
      <c r="B59" s="60">
        <v>209</v>
      </c>
      <c r="C59" s="60">
        <v>170</v>
      </c>
      <c r="D59" s="60">
        <f>C59/B59</f>
        <v>0.8133971291866029</v>
      </c>
      <c r="E59" s="60">
        <v>167</v>
      </c>
      <c r="F59" s="60">
        <f t="shared" si="24"/>
        <v>0.79904306220095689</v>
      </c>
      <c r="G59" s="60">
        <v>166</v>
      </c>
      <c r="H59" s="60">
        <f t="shared" si="25"/>
        <v>0.79425837320574166</v>
      </c>
      <c r="I59" s="60">
        <v>164</v>
      </c>
      <c r="J59" s="60">
        <f t="shared" si="33"/>
        <v>0.78468899521531099</v>
      </c>
      <c r="K59" s="70">
        <v>232</v>
      </c>
      <c r="L59" s="63">
        <v>142</v>
      </c>
      <c r="M59" s="71">
        <f t="shared" si="26"/>
        <v>0.67942583732057416</v>
      </c>
      <c r="N59" s="65">
        <v>158</v>
      </c>
      <c r="O59" s="72">
        <f t="shared" si="27"/>
        <v>0.75598086124401909</v>
      </c>
      <c r="P59" s="67">
        <v>145</v>
      </c>
      <c r="Q59" s="73">
        <f t="shared" si="28"/>
        <v>0.69377990430622005</v>
      </c>
      <c r="R59" s="61">
        <f>B59/K59</f>
        <v>0.90086206896551724</v>
      </c>
      <c r="S59" s="69">
        <f t="shared" si="30"/>
        <v>4.3062200956937797</v>
      </c>
      <c r="T59" s="69">
        <f t="shared" si="31"/>
        <v>5.741626794258381</v>
      </c>
      <c r="U59" s="69">
        <f t="shared" si="34"/>
        <v>2.8708133971291905</v>
      </c>
      <c r="V59" s="29"/>
      <c r="W59" s="29"/>
      <c r="X59" s="29"/>
      <c r="Y59" s="29"/>
      <c r="Z59" s="29"/>
      <c r="AA59" s="29"/>
      <c r="AB59" s="29"/>
      <c r="AC59" s="29"/>
    </row>
    <row r="60" spans="1:30" ht="15.75" customHeight="1" x14ac:dyDescent="0.2">
      <c r="F60" s="60"/>
    </row>
    <row r="61" spans="1:30" ht="15.75" customHeight="1" x14ac:dyDescent="0.2"/>
    <row r="62" spans="1:30" ht="15.75" customHeight="1" x14ac:dyDescent="0.2"/>
    <row r="63" spans="1:30" ht="15.75" customHeight="1" x14ac:dyDescent="0.2"/>
    <row r="64" spans="1:30" ht="15.75" customHeight="1" x14ac:dyDescent="0.2"/>
    <row r="65" spans="13:15" ht="15.75" customHeight="1" x14ac:dyDescent="0.2"/>
    <row r="66" spans="13:15" ht="15.75" customHeight="1" x14ac:dyDescent="0.2"/>
    <row r="67" spans="13:15" ht="15.75" customHeight="1" x14ac:dyDescent="0.2"/>
    <row r="68" spans="13:15" ht="15.75" customHeight="1" x14ac:dyDescent="0.2"/>
    <row r="69" spans="13:15" ht="15.75" customHeight="1" x14ac:dyDescent="0.2"/>
    <row r="70" spans="13:15" ht="15.75" customHeight="1" x14ac:dyDescent="0.2"/>
    <row r="71" spans="13:15" ht="15.75" customHeight="1" x14ac:dyDescent="0.2">
      <c r="M71" s="40" t="s">
        <v>320</v>
      </c>
      <c r="N71" s="40" t="s">
        <v>326</v>
      </c>
      <c r="O71" s="40" t="s">
        <v>322</v>
      </c>
    </row>
    <row r="72" spans="13:15" ht="15.75" customHeight="1" x14ac:dyDescent="0.2">
      <c r="M72">
        <v>69</v>
      </c>
      <c r="N72">
        <v>71.2</v>
      </c>
      <c r="O72">
        <v>77.3</v>
      </c>
    </row>
    <row r="73" spans="13:15" ht="15.75" customHeight="1" x14ac:dyDescent="0.2">
      <c r="M73">
        <v>60.7</v>
      </c>
      <c r="N73">
        <v>57.1</v>
      </c>
      <c r="O73">
        <v>64.2</v>
      </c>
    </row>
    <row r="74" spans="13:15" ht="15.75" customHeight="1" x14ac:dyDescent="0.2">
      <c r="M74">
        <v>63.9</v>
      </c>
      <c r="N74">
        <v>68.8</v>
      </c>
      <c r="O74">
        <v>80.3</v>
      </c>
    </row>
    <row r="75" spans="13:15" ht="15.75" customHeight="1" x14ac:dyDescent="0.2">
      <c r="M75">
        <v>54.5</v>
      </c>
      <c r="N75">
        <v>54.5</v>
      </c>
      <c r="O75">
        <v>63.6</v>
      </c>
    </row>
    <row r="76" spans="13:15" ht="15.75" customHeight="1" x14ac:dyDescent="0.2">
      <c r="M76">
        <v>63.3</v>
      </c>
      <c r="N76">
        <v>66.599999999999994</v>
      </c>
      <c r="O76">
        <v>76.599999999999994</v>
      </c>
    </row>
    <row r="77" spans="13:15" ht="15.75" customHeight="1" x14ac:dyDescent="0.2">
      <c r="M77">
        <v>74.7</v>
      </c>
      <c r="N77">
        <v>76.900000000000006</v>
      </c>
      <c r="O77">
        <v>76.900000000000006</v>
      </c>
    </row>
    <row r="78" spans="13:15" ht="15.75" customHeight="1" x14ac:dyDescent="0.2">
      <c r="M78">
        <v>83.3</v>
      </c>
      <c r="N78">
        <v>50</v>
      </c>
      <c r="O78">
        <v>66.599999999999994</v>
      </c>
    </row>
    <row r="79" spans="13:15" ht="15.75" customHeight="1" x14ac:dyDescent="0.2">
      <c r="M79">
        <v>58.3</v>
      </c>
      <c r="N79">
        <v>50</v>
      </c>
      <c r="O79">
        <v>66.599999999999994</v>
      </c>
    </row>
    <row r="80" spans="13:15" ht="15.75" customHeight="1" x14ac:dyDescent="0.2">
      <c r="M80">
        <v>67.900000000000006</v>
      </c>
      <c r="N80">
        <v>69.3</v>
      </c>
      <c r="O80">
        <v>75.5</v>
      </c>
    </row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  <row r="1001" ht="15.75" customHeight="1" x14ac:dyDescent="0.2"/>
  </sheetData>
  <pageMargins left="0.7" right="0.7" top="0.75" bottom="0.75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Results</vt:lpstr>
      <vt:lpstr>Joana-MainPaper</vt:lpstr>
      <vt:lpstr>Key-MainPaper</vt:lpstr>
      <vt:lpstr>Cassandar-MainPaper</vt:lpstr>
      <vt:lpstr>Comparison 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Narges Khakpour</cp:lastModifiedBy>
  <dcterms:created xsi:type="dcterms:W3CDTF">2020-01-23T08:26:23Z</dcterms:created>
  <dcterms:modified xsi:type="dcterms:W3CDTF">2026-04-30T08:14:35Z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