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Research/Workspaces/Experiments/SymmariesJavaAPIOutput/V3-round2-2/Reports/"/>
    </mc:Choice>
  </mc:AlternateContent>
  <xr:revisionPtr revIDLastSave="0" documentId="13_ncr:9_{92068DCD-D8F7-3345-8309-BD563366BC88}" xr6:coauthVersionLast="47" xr6:coauthVersionMax="47" xr10:uidLastSave="{00000000-0000-0000-0000-000000000000}"/>
  <bookViews>
    <workbookView xWindow="1880" yWindow="1680" windowWidth="34540" windowHeight="21480" xr2:uid="{A5B979D3-EA56-AB4C-96F9-4FF4625ADA85}"/>
  </bookViews>
  <sheets>
    <sheet name="packageStatistics" sheetId="1" r:id="rId1"/>
    <sheet name="dumb" sheetId="3" r:id="rId2"/>
    <sheet name="ashare" sheetId="2" r:id="rId3"/>
    <sheet name="ashare-paper" sheetId="4" r:id="rId4"/>
  </sheets>
  <definedNames>
    <definedName name="_xlnm._FilterDatabase" localSheetId="0" hidden="1">packageStatistics!$A$1:$O$25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" l="1"/>
  <c r="E11" i="2"/>
  <c r="F11" i="2"/>
  <c r="G11" i="2"/>
  <c r="H11" i="2"/>
  <c r="I11" i="2"/>
  <c r="J11" i="2"/>
  <c r="K11" i="2"/>
  <c r="L11" i="2"/>
  <c r="M11" i="2"/>
  <c r="N11" i="2"/>
  <c r="O11" i="2"/>
  <c r="P11" i="2"/>
  <c r="C11" i="2"/>
  <c r="D11" i="3"/>
  <c r="E11" i="3"/>
  <c r="F11" i="3"/>
  <c r="G11" i="3"/>
  <c r="H11" i="3"/>
  <c r="J11" i="3"/>
  <c r="K11" i="3"/>
  <c r="L11" i="3"/>
  <c r="M11" i="3"/>
  <c r="N11" i="3"/>
  <c r="O11" i="3"/>
  <c r="P11" i="3"/>
  <c r="C11" i="3"/>
  <c r="I4" i="3"/>
  <c r="Q4" i="3" s="1"/>
  <c r="I14" i="3"/>
  <c r="Q14" i="3" s="1"/>
  <c r="I7" i="3"/>
  <c r="Q7" i="3" s="1"/>
  <c r="I3" i="3"/>
  <c r="Q3" i="3" s="1"/>
  <c r="I9" i="3"/>
  <c r="Q9" i="3" s="1"/>
  <c r="I6" i="3"/>
  <c r="Q6" i="3" s="1"/>
  <c r="I8" i="3"/>
  <c r="Q8" i="3" s="1"/>
  <c r="I5" i="3"/>
  <c r="I15" i="3"/>
  <c r="Q15" i="3" s="1"/>
  <c r="I2" i="2"/>
  <c r="Q2" i="2" s="1"/>
  <c r="I3" i="2"/>
  <c r="Q3" i="2" s="1"/>
  <c r="I8" i="2"/>
  <c r="Q8" i="2" s="1"/>
  <c r="I4" i="2"/>
  <c r="Q4" i="2" s="1"/>
  <c r="I6" i="2"/>
  <c r="Q6" i="2" s="1"/>
  <c r="I14" i="2"/>
  <c r="Q14" i="2" s="1"/>
  <c r="I13" i="2"/>
  <c r="Q13" i="2" s="1"/>
  <c r="I7" i="2"/>
  <c r="Q7" i="2" s="1"/>
  <c r="I5" i="2"/>
  <c r="Q5" i="2" s="1"/>
  <c r="R2" i="2"/>
  <c r="R3" i="2"/>
  <c r="R8" i="2"/>
  <c r="R4" i="2"/>
  <c r="R6" i="2"/>
  <c r="R13" i="2"/>
  <c r="R7" i="2"/>
  <c r="R5" i="2"/>
  <c r="R5" i="3"/>
  <c r="R8" i="3"/>
  <c r="R6" i="3"/>
  <c r="R9" i="3"/>
  <c r="R3" i="3"/>
  <c r="R14" i="3"/>
  <c r="R4" i="3"/>
  <c r="R15" i="3"/>
  <c r="O16" i="1"/>
  <c r="O24" i="1"/>
  <c r="O2" i="1"/>
  <c r="O4" i="1"/>
  <c r="O22" i="1"/>
  <c r="O18" i="1"/>
  <c r="O6" i="1"/>
  <c r="O5" i="1"/>
  <c r="O3" i="1"/>
  <c r="O20" i="1"/>
  <c r="O14" i="1"/>
  <c r="O8" i="1"/>
  <c r="O15" i="1"/>
  <c r="O17" i="1"/>
  <c r="O21" i="1"/>
  <c r="O23" i="1"/>
  <c r="O25" i="1"/>
  <c r="O9" i="1"/>
  <c r="O12" i="1"/>
  <c r="O19" i="1"/>
  <c r="O11" i="1"/>
  <c r="O13" i="1"/>
  <c r="O7" i="1"/>
  <c r="O10" i="1"/>
  <c r="I11" i="3" l="1"/>
  <c r="Q5" i="3"/>
  <c r="R11" i="3"/>
  <c r="Q11" i="3"/>
  <c r="R11" i="2"/>
  <c r="Q11" i="2"/>
</calcChain>
</file>

<file path=xl/sharedStrings.xml><?xml version="1.0" encoding="utf-8"?>
<sst xmlns="http://schemas.openxmlformats.org/spreadsheetml/2006/main" count="157" uniqueCount="34">
  <si>
    <t>packName</t>
  </si>
  <si>
    <t>domain</t>
  </si>
  <si>
    <t>methods</t>
  </si>
  <si>
    <t>skipped</t>
  </si>
  <si>
    <t>skipped_reachables</t>
  </si>
  <si>
    <t>sink_unreachable</t>
  </si>
  <si>
    <t xml:space="preserve"> nontrue_sink_unreachable</t>
  </si>
  <si>
    <t>nontrue_skipped_reachable</t>
  </si>
  <si>
    <t>true_sink_reachable</t>
  </si>
  <si>
    <t>methods2</t>
  </si>
  <si>
    <t>sink_unreachable_nodes2</t>
  </si>
  <si>
    <t>cond_sink_unreachable2</t>
  </si>
  <si>
    <t>nontrue_skipped_reachable_sink_unreachable2</t>
  </si>
  <si>
    <t>true_sink_reachable2</t>
  </si>
  <si>
    <t>java.nio</t>
  </si>
  <si>
    <t>r1_res2__impl_-except_ashare_300_-dr_t=3mm_cudd=8GiBGiB_</t>
  </si>
  <si>
    <t>java.util</t>
  </si>
  <si>
    <t>r1_res2__impl_-except_dumb_300_-dr_t=3mm_cudd=8GiBGiB_</t>
  </si>
  <si>
    <t>java.awt</t>
  </si>
  <si>
    <t>java.io</t>
  </si>
  <si>
    <t>jdk.internal</t>
  </si>
  <si>
    <t>javax.security</t>
  </si>
  <si>
    <t>java.lang</t>
  </si>
  <si>
    <t>javax.swing</t>
  </si>
  <si>
    <t>java.text</t>
  </si>
  <si>
    <t>java.math</t>
  </si>
  <si>
    <t>java.security</t>
  </si>
  <si>
    <t>strict guard sick reachable</t>
  </si>
  <si>
    <t>Precision1</t>
  </si>
  <si>
    <t>Precision after removing skip reachables</t>
  </si>
  <si>
    <t>total strict guards</t>
  </si>
  <si>
    <t>total strict</t>
  </si>
  <si>
    <t>Total</t>
  </si>
  <si>
    <t>Precision2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</si>
</sst>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2699C-99A9-874F-9F38-4C45B8CE3340}">
  <dimension ref="A1:O25"/>
  <sheetViews>
    <sheetView tabSelected="1" workbookViewId="0">
      <selection activeCell="B17" sqref="B17"/>
    </sheetView>
  </sheetViews>
  <sheetFormatPr baseColWidth="10" defaultRowHeight="16" x14ac:dyDescent="0.2"/>
  <cols>
    <col min="2" max="2" width="62.83203125" customWidth="1"/>
    <col min="9" max="9" width="11.832031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5" x14ac:dyDescent="0.2">
      <c r="A2" t="s">
        <v>18</v>
      </c>
      <c r="B2" t="s">
        <v>15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1</v>
      </c>
      <c r="O2" t="e">
        <f>1-G2/C2</f>
        <v>#DIV/0!</v>
      </c>
    </row>
    <row r="3" spans="1:15" x14ac:dyDescent="0.2">
      <c r="A3" t="s">
        <v>18</v>
      </c>
      <c r="B3" t="s">
        <v>17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  <c r="O3" t="e">
        <f>1-G3/C3</f>
        <v>#DIV/0!</v>
      </c>
    </row>
    <row r="4" spans="1:15" x14ac:dyDescent="0.2">
      <c r="A4" t="s">
        <v>19</v>
      </c>
      <c r="B4" t="s">
        <v>15</v>
      </c>
      <c r="C4">
        <v>546</v>
      </c>
      <c r="D4">
        <v>27</v>
      </c>
      <c r="E4">
        <v>134</v>
      </c>
      <c r="F4">
        <v>481</v>
      </c>
      <c r="G4">
        <v>77</v>
      </c>
      <c r="H4">
        <v>76</v>
      </c>
      <c r="I4">
        <v>22</v>
      </c>
      <c r="J4">
        <v>412</v>
      </c>
      <c r="K4">
        <v>361</v>
      </c>
      <c r="L4">
        <v>1</v>
      </c>
      <c r="M4">
        <v>0</v>
      </c>
      <c r="N4">
        <v>22</v>
      </c>
      <c r="O4">
        <f>1-G4/C4</f>
        <v>0.85897435897435903</v>
      </c>
    </row>
    <row r="5" spans="1:15" x14ac:dyDescent="0.2">
      <c r="A5" t="s">
        <v>19</v>
      </c>
      <c r="B5" t="s">
        <v>17</v>
      </c>
      <c r="C5">
        <v>537</v>
      </c>
      <c r="D5">
        <v>0</v>
      </c>
      <c r="E5">
        <v>4</v>
      </c>
      <c r="F5">
        <v>472</v>
      </c>
      <c r="G5">
        <v>3</v>
      </c>
      <c r="H5">
        <v>0</v>
      </c>
      <c r="I5">
        <v>22</v>
      </c>
      <c r="J5">
        <v>533</v>
      </c>
      <c r="K5">
        <v>472</v>
      </c>
      <c r="L5">
        <v>3</v>
      </c>
      <c r="M5">
        <v>0</v>
      </c>
      <c r="N5">
        <v>22</v>
      </c>
      <c r="O5">
        <f>1-G5/C5</f>
        <v>0.994413407821229</v>
      </c>
    </row>
    <row r="6" spans="1:15" x14ac:dyDescent="0.2">
      <c r="A6" t="s">
        <v>22</v>
      </c>
      <c r="B6" t="s">
        <v>15</v>
      </c>
      <c r="C6">
        <v>278</v>
      </c>
      <c r="D6">
        <v>9</v>
      </c>
      <c r="E6">
        <v>60</v>
      </c>
      <c r="F6">
        <v>277</v>
      </c>
      <c r="G6">
        <v>39</v>
      </c>
      <c r="H6">
        <v>39</v>
      </c>
      <c r="I6">
        <v>1</v>
      </c>
      <c r="J6">
        <v>218</v>
      </c>
      <c r="K6">
        <v>218</v>
      </c>
      <c r="L6">
        <v>0</v>
      </c>
      <c r="M6">
        <v>0</v>
      </c>
      <c r="N6">
        <v>0</v>
      </c>
      <c r="O6">
        <f>1-G6/C6</f>
        <v>0.85971223021582732</v>
      </c>
    </row>
    <row r="7" spans="1:15" x14ac:dyDescent="0.2">
      <c r="A7" t="s">
        <v>22</v>
      </c>
      <c r="B7" t="s">
        <v>17</v>
      </c>
      <c r="C7">
        <v>278</v>
      </c>
      <c r="D7">
        <v>0</v>
      </c>
      <c r="E7">
        <v>1</v>
      </c>
      <c r="F7">
        <v>277</v>
      </c>
      <c r="G7">
        <v>0</v>
      </c>
      <c r="H7">
        <v>0</v>
      </c>
      <c r="I7">
        <v>0</v>
      </c>
      <c r="J7">
        <v>277</v>
      </c>
      <c r="K7">
        <v>277</v>
      </c>
      <c r="L7">
        <v>0</v>
      </c>
      <c r="M7">
        <v>0</v>
      </c>
      <c r="N7">
        <v>0</v>
      </c>
      <c r="O7">
        <f>1-G7/C7</f>
        <v>1</v>
      </c>
    </row>
    <row r="8" spans="1:15" x14ac:dyDescent="0.2">
      <c r="A8" t="s">
        <v>25</v>
      </c>
      <c r="B8" t="s">
        <v>17</v>
      </c>
      <c r="C8">
        <v>3</v>
      </c>
      <c r="D8">
        <v>0</v>
      </c>
      <c r="E8">
        <v>0</v>
      </c>
      <c r="F8">
        <v>3</v>
      </c>
      <c r="G8">
        <v>0</v>
      </c>
      <c r="H8">
        <v>0</v>
      </c>
      <c r="I8">
        <v>0</v>
      </c>
      <c r="J8">
        <v>3</v>
      </c>
      <c r="K8">
        <v>3</v>
      </c>
      <c r="L8">
        <v>0</v>
      </c>
      <c r="M8">
        <v>0</v>
      </c>
      <c r="N8">
        <v>0</v>
      </c>
      <c r="O8">
        <f>1-G8/C8</f>
        <v>1</v>
      </c>
    </row>
    <row r="9" spans="1:15" x14ac:dyDescent="0.2">
      <c r="A9" t="s">
        <v>25</v>
      </c>
      <c r="B9" t="s">
        <v>15</v>
      </c>
      <c r="C9">
        <v>3</v>
      </c>
      <c r="D9">
        <v>0</v>
      </c>
      <c r="E9">
        <v>0</v>
      </c>
      <c r="F9">
        <v>3</v>
      </c>
      <c r="G9">
        <v>0</v>
      </c>
      <c r="H9">
        <v>0</v>
      </c>
      <c r="I9">
        <v>0</v>
      </c>
      <c r="J9">
        <v>3</v>
      </c>
      <c r="K9">
        <v>3</v>
      </c>
      <c r="L9">
        <v>0</v>
      </c>
      <c r="M9">
        <v>0</v>
      </c>
      <c r="N9">
        <v>0</v>
      </c>
      <c r="O9">
        <f>1-G9/C9</f>
        <v>1</v>
      </c>
    </row>
    <row r="10" spans="1:15" x14ac:dyDescent="0.2">
      <c r="A10" t="s">
        <v>14</v>
      </c>
      <c r="B10" t="s">
        <v>15</v>
      </c>
      <c r="C10">
        <v>140</v>
      </c>
      <c r="D10">
        <v>12</v>
      </c>
      <c r="E10">
        <v>36</v>
      </c>
      <c r="F10">
        <v>140</v>
      </c>
      <c r="G10">
        <v>26</v>
      </c>
      <c r="H10">
        <v>26</v>
      </c>
      <c r="I10">
        <v>0</v>
      </c>
      <c r="J10">
        <v>104</v>
      </c>
      <c r="K10">
        <v>104</v>
      </c>
      <c r="L10">
        <v>0</v>
      </c>
      <c r="M10">
        <v>0</v>
      </c>
      <c r="N10">
        <v>0</v>
      </c>
      <c r="O10">
        <f>1-G10/C10</f>
        <v>0.81428571428571428</v>
      </c>
    </row>
    <row r="11" spans="1:15" x14ac:dyDescent="0.2">
      <c r="A11" t="s">
        <v>14</v>
      </c>
      <c r="B11" t="s">
        <v>17</v>
      </c>
      <c r="C11">
        <v>140</v>
      </c>
      <c r="D11">
        <v>0</v>
      </c>
      <c r="E11">
        <v>0</v>
      </c>
      <c r="F11">
        <v>140</v>
      </c>
      <c r="G11">
        <v>0</v>
      </c>
      <c r="H11">
        <v>0</v>
      </c>
      <c r="I11">
        <v>0</v>
      </c>
      <c r="J11">
        <v>140</v>
      </c>
      <c r="K11">
        <v>140</v>
      </c>
      <c r="L11">
        <v>0</v>
      </c>
      <c r="M11">
        <v>0</v>
      </c>
      <c r="N11">
        <v>0</v>
      </c>
      <c r="O11">
        <f>1-G11/C11</f>
        <v>1</v>
      </c>
    </row>
    <row r="12" spans="1:15" x14ac:dyDescent="0.2">
      <c r="A12" t="s">
        <v>26</v>
      </c>
      <c r="B12" t="s">
        <v>15</v>
      </c>
      <c r="C12">
        <v>24</v>
      </c>
      <c r="D12">
        <v>6</v>
      </c>
      <c r="E12">
        <v>12</v>
      </c>
      <c r="F12">
        <v>16</v>
      </c>
      <c r="G12">
        <v>3</v>
      </c>
      <c r="H12">
        <v>3</v>
      </c>
      <c r="I12">
        <v>6</v>
      </c>
      <c r="J12">
        <v>12</v>
      </c>
      <c r="K12">
        <v>12</v>
      </c>
      <c r="L12">
        <v>0</v>
      </c>
      <c r="M12">
        <v>0</v>
      </c>
      <c r="N12">
        <v>1</v>
      </c>
      <c r="O12">
        <f>1-G12/C12</f>
        <v>0.875</v>
      </c>
    </row>
    <row r="13" spans="1:15" x14ac:dyDescent="0.2">
      <c r="A13" t="s">
        <v>26</v>
      </c>
      <c r="B13" t="s">
        <v>17</v>
      </c>
      <c r="C13">
        <v>24</v>
      </c>
      <c r="D13">
        <v>0</v>
      </c>
      <c r="E13">
        <v>6</v>
      </c>
      <c r="F13">
        <v>16</v>
      </c>
      <c r="G13">
        <v>0</v>
      </c>
      <c r="H13">
        <v>0</v>
      </c>
      <c r="I13">
        <v>2</v>
      </c>
      <c r="J13">
        <v>18</v>
      </c>
      <c r="K13">
        <v>16</v>
      </c>
      <c r="L13">
        <v>0</v>
      </c>
      <c r="M13">
        <v>0</v>
      </c>
      <c r="N13">
        <v>1</v>
      </c>
      <c r="O13">
        <f>1-G13/C13</f>
        <v>1</v>
      </c>
    </row>
    <row r="14" spans="1:15" x14ac:dyDescent="0.2">
      <c r="A14" t="s">
        <v>24</v>
      </c>
      <c r="B14" t="s">
        <v>15</v>
      </c>
      <c r="C14">
        <v>42</v>
      </c>
      <c r="D14">
        <v>2</v>
      </c>
      <c r="E14">
        <v>6</v>
      </c>
      <c r="F14">
        <v>42</v>
      </c>
      <c r="G14">
        <v>4</v>
      </c>
      <c r="H14">
        <v>4</v>
      </c>
      <c r="I14">
        <v>0</v>
      </c>
      <c r="J14">
        <v>36</v>
      </c>
      <c r="K14">
        <v>36</v>
      </c>
      <c r="L14">
        <v>0</v>
      </c>
      <c r="M14">
        <v>0</v>
      </c>
      <c r="N14">
        <v>0</v>
      </c>
      <c r="O14">
        <f>1-G14/C14</f>
        <v>0.90476190476190477</v>
      </c>
    </row>
    <row r="15" spans="1:15" x14ac:dyDescent="0.2">
      <c r="A15" t="s">
        <v>24</v>
      </c>
      <c r="B15" t="s">
        <v>17</v>
      </c>
      <c r="C15">
        <v>42</v>
      </c>
      <c r="D15">
        <v>0</v>
      </c>
      <c r="E15">
        <v>0</v>
      </c>
      <c r="F15">
        <v>42</v>
      </c>
      <c r="G15">
        <v>0</v>
      </c>
      <c r="H15">
        <v>0</v>
      </c>
      <c r="I15">
        <v>0</v>
      </c>
      <c r="J15">
        <v>42</v>
      </c>
      <c r="K15">
        <v>42</v>
      </c>
      <c r="L15">
        <v>0</v>
      </c>
      <c r="M15">
        <v>0</v>
      </c>
      <c r="N15">
        <v>0</v>
      </c>
      <c r="O15">
        <f>1-G15/C15</f>
        <v>1</v>
      </c>
    </row>
    <row r="16" spans="1:15" x14ac:dyDescent="0.2">
      <c r="A16" t="s">
        <v>16</v>
      </c>
      <c r="B16" t="s">
        <v>15</v>
      </c>
      <c r="C16">
        <v>1460</v>
      </c>
      <c r="D16">
        <v>201</v>
      </c>
      <c r="E16">
        <v>605</v>
      </c>
      <c r="F16">
        <v>1449</v>
      </c>
      <c r="G16">
        <v>249</v>
      </c>
      <c r="H16">
        <v>249</v>
      </c>
      <c r="I16">
        <v>4</v>
      </c>
      <c r="J16">
        <v>910</v>
      </c>
      <c r="K16">
        <v>910</v>
      </c>
      <c r="L16">
        <v>0</v>
      </c>
      <c r="M16">
        <v>0</v>
      </c>
      <c r="N16">
        <v>0</v>
      </c>
      <c r="O16">
        <f>1-G16/C16</f>
        <v>0.82945205479452055</v>
      </c>
    </row>
    <row r="17" spans="1:15" x14ac:dyDescent="0.2">
      <c r="A17" t="s">
        <v>16</v>
      </c>
      <c r="B17" t="s">
        <v>17</v>
      </c>
      <c r="C17">
        <v>1515</v>
      </c>
      <c r="D17">
        <v>1</v>
      </c>
      <c r="E17">
        <v>41</v>
      </c>
      <c r="F17">
        <v>1504</v>
      </c>
      <c r="G17">
        <v>31</v>
      </c>
      <c r="H17">
        <v>31</v>
      </c>
      <c r="I17">
        <v>3</v>
      </c>
      <c r="J17">
        <v>1474</v>
      </c>
      <c r="K17">
        <v>1465</v>
      </c>
      <c r="L17">
        <v>0</v>
      </c>
      <c r="M17">
        <v>0</v>
      </c>
      <c r="N17">
        <v>3</v>
      </c>
      <c r="O17">
        <f>1-G17/C17</f>
        <v>0.97953795379537956</v>
      </c>
    </row>
    <row r="18" spans="1:15" x14ac:dyDescent="0.2">
      <c r="A18" t="s">
        <v>21</v>
      </c>
      <c r="B18" t="s">
        <v>15</v>
      </c>
      <c r="C18">
        <v>12</v>
      </c>
      <c r="D18">
        <v>1</v>
      </c>
      <c r="E18">
        <v>6</v>
      </c>
      <c r="F18">
        <v>12</v>
      </c>
      <c r="G18">
        <v>0</v>
      </c>
      <c r="H18">
        <v>0</v>
      </c>
      <c r="I18">
        <v>3</v>
      </c>
      <c r="J18">
        <v>6</v>
      </c>
      <c r="K18">
        <v>6</v>
      </c>
      <c r="L18">
        <v>0</v>
      </c>
      <c r="M18">
        <v>0</v>
      </c>
      <c r="N18">
        <v>3</v>
      </c>
      <c r="O18">
        <f>1-G18/C18</f>
        <v>1</v>
      </c>
    </row>
    <row r="19" spans="1:15" x14ac:dyDescent="0.2">
      <c r="A19" t="s">
        <v>21</v>
      </c>
      <c r="B19" t="s">
        <v>17</v>
      </c>
      <c r="C19">
        <v>12</v>
      </c>
      <c r="D19">
        <v>0</v>
      </c>
      <c r="E19">
        <v>0</v>
      </c>
      <c r="F19">
        <v>12</v>
      </c>
      <c r="G19">
        <v>0</v>
      </c>
      <c r="H19">
        <v>0</v>
      </c>
      <c r="I19">
        <v>3</v>
      </c>
      <c r="J19">
        <v>12</v>
      </c>
      <c r="K19">
        <v>12</v>
      </c>
      <c r="L19">
        <v>0</v>
      </c>
      <c r="M19">
        <v>0</v>
      </c>
      <c r="N19">
        <v>3</v>
      </c>
      <c r="O19">
        <f>1-G19/C19</f>
        <v>1</v>
      </c>
    </row>
    <row r="20" spans="1:15" x14ac:dyDescent="0.2">
      <c r="A20" t="s">
        <v>23</v>
      </c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25</v>
      </c>
      <c r="J20">
        <v>0</v>
      </c>
      <c r="K20">
        <v>0</v>
      </c>
      <c r="L20">
        <v>0</v>
      </c>
      <c r="M20">
        <v>0</v>
      </c>
      <c r="N20">
        <v>25</v>
      </c>
      <c r="O20" t="e">
        <f>1-G20/C20</f>
        <v>#DIV/0!</v>
      </c>
    </row>
    <row r="21" spans="1:15" x14ac:dyDescent="0.2">
      <c r="A21" t="s">
        <v>23</v>
      </c>
      <c r="B21" t="s">
        <v>17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25</v>
      </c>
      <c r="J21">
        <v>0</v>
      </c>
      <c r="K21">
        <v>0</v>
      </c>
      <c r="L21">
        <v>0</v>
      </c>
      <c r="M21">
        <v>0</v>
      </c>
      <c r="N21">
        <v>25</v>
      </c>
      <c r="O21" t="e">
        <f>1-G21/C21</f>
        <v>#DIV/0!</v>
      </c>
    </row>
    <row r="22" spans="1:15" x14ac:dyDescent="0.2">
      <c r="A22" t="s">
        <v>20</v>
      </c>
      <c r="B22" t="s">
        <v>17</v>
      </c>
      <c r="C22">
        <v>2</v>
      </c>
      <c r="D22">
        <v>0</v>
      </c>
      <c r="E22">
        <v>0</v>
      </c>
      <c r="F22">
        <v>2</v>
      </c>
      <c r="G22">
        <v>0</v>
      </c>
      <c r="H22">
        <v>0</v>
      </c>
      <c r="I22">
        <v>0</v>
      </c>
      <c r="J22">
        <v>2</v>
      </c>
      <c r="K22">
        <v>2</v>
      </c>
      <c r="L22">
        <v>0</v>
      </c>
      <c r="M22">
        <v>0</v>
      </c>
      <c r="N22">
        <v>0</v>
      </c>
      <c r="O22">
        <f>1-G22/C22</f>
        <v>1</v>
      </c>
    </row>
    <row r="23" spans="1:15" x14ac:dyDescent="0.2">
      <c r="A23" t="s">
        <v>20</v>
      </c>
      <c r="B23" t="s">
        <v>15</v>
      </c>
      <c r="C23">
        <v>2</v>
      </c>
      <c r="D23">
        <v>0</v>
      </c>
      <c r="E23">
        <v>2</v>
      </c>
      <c r="F23">
        <v>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f>1-G23/C23</f>
        <v>1</v>
      </c>
    </row>
    <row r="24" spans="1:15" x14ac:dyDescent="0.2">
      <c r="B24" t="s">
        <v>17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1</v>
      </c>
      <c r="O24" t="e">
        <f>1-G24/C24</f>
        <v>#DIV/0!</v>
      </c>
    </row>
    <row r="25" spans="1:15" x14ac:dyDescent="0.2">
      <c r="B25" t="s">
        <v>15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1</v>
      </c>
      <c r="O25" t="e">
        <f>1-G25/C25</f>
        <v>#DIV/0!</v>
      </c>
    </row>
  </sheetData>
  <sortState xmlns:xlrd2="http://schemas.microsoft.com/office/spreadsheetml/2017/richdata2" ref="A2:O25">
    <sortCondition ref="A2:A25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EC8ED-B0CD-AC49-897D-4427D4019629}">
  <dimension ref="A1:R15"/>
  <sheetViews>
    <sheetView workbookViewId="0">
      <selection activeCell="Q3" sqref="Q3:R11"/>
    </sheetView>
  </sheetViews>
  <sheetFormatPr baseColWidth="10" defaultRowHeight="16" x14ac:dyDescent="0.2"/>
  <cols>
    <col min="11" max="11" width="18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</v>
      </c>
      <c r="I1" t="s">
        <v>31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8" x14ac:dyDescent="0.2">
      <c r="Q2" t="s">
        <v>28</v>
      </c>
      <c r="R2" t="s">
        <v>29</v>
      </c>
    </row>
    <row r="3" spans="1:18" x14ac:dyDescent="0.2">
      <c r="A3" t="s">
        <v>16</v>
      </c>
      <c r="B3" t="s">
        <v>17</v>
      </c>
      <c r="C3">
        <v>1515</v>
      </c>
      <c r="D3">
        <v>1</v>
      </c>
      <c r="E3">
        <v>41</v>
      </c>
      <c r="F3">
        <v>1504</v>
      </c>
      <c r="G3">
        <v>31</v>
      </c>
      <c r="I3">
        <f>G3+H3</f>
        <v>31</v>
      </c>
      <c r="J3">
        <v>31</v>
      </c>
      <c r="K3">
        <v>3</v>
      </c>
      <c r="L3">
        <v>1474</v>
      </c>
      <c r="M3">
        <v>1465</v>
      </c>
      <c r="N3">
        <v>0</v>
      </c>
      <c r="O3">
        <v>0</v>
      </c>
      <c r="P3">
        <v>3</v>
      </c>
      <c r="Q3">
        <f>1-(I3)/C3</f>
        <v>0.97953795379537956</v>
      </c>
      <c r="R3">
        <f>1-N3/L3</f>
        <v>1</v>
      </c>
    </row>
    <row r="4" spans="1:18" x14ac:dyDescent="0.2">
      <c r="A4" t="s">
        <v>19</v>
      </c>
      <c r="B4" t="s">
        <v>17</v>
      </c>
      <c r="C4">
        <v>537</v>
      </c>
      <c r="D4">
        <v>0</v>
      </c>
      <c r="E4">
        <v>4</v>
      </c>
      <c r="F4">
        <v>472</v>
      </c>
      <c r="G4">
        <v>3</v>
      </c>
      <c r="H4">
        <v>2</v>
      </c>
      <c r="I4">
        <f>G4+H4</f>
        <v>5</v>
      </c>
      <c r="J4">
        <v>0</v>
      </c>
      <c r="K4">
        <v>22</v>
      </c>
      <c r="L4">
        <v>533</v>
      </c>
      <c r="M4">
        <v>472</v>
      </c>
      <c r="N4">
        <v>3</v>
      </c>
      <c r="O4">
        <v>0</v>
      </c>
      <c r="P4">
        <v>22</v>
      </c>
      <c r="Q4">
        <f>1-(I4)/C4</f>
        <v>0.9906890130353817</v>
      </c>
      <c r="R4">
        <f>1-N4/L4</f>
        <v>0.99437148217636018</v>
      </c>
    </row>
    <row r="5" spans="1:18" x14ac:dyDescent="0.2">
      <c r="A5" t="s">
        <v>22</v>
      </c>
      <c r="B5" t="s">
        <v>17</v>
      </c>
      <c r="C5">
        <v>278</v>
      </c>
      <c r="D5">
        <v>0</v>
      </c>
      <c r="E5">
        <v>1</v>
      </c>
      <c r="F5">
        <v>277</v>
      </c>
      <c r="G5">
        <v>0</v>
      </c>
      <c r="I5">
        <f>G5+H5</f>
        <v>0</v>
      </c>
      <c r="J5">
        <v>0</v>
      </c>
      <c r="K5">
        <v>0</v>
      </c>
      <c r="L5">
        <v>277</v>
      </c>
      <c r="M5">
        <v>277</v>
      </c>
      <c r="N5">
        <v>0</v>
      </c>
      <c r="O5">
        <v>0</v>
      </c>
      <c r="P5">
        <v>0</v>
      </c>
      <c r="Q5">
        <f>1-(I5)/C5</f>
        <v>1</v>
      </c>
      <c r="R5">
        <f>1-N5/L5</f>
        <v>1</v>
      </c>
    </row>
    <row r="6" spans="1:18" x14ac:dyDescent="0.2">
      <c r="A6" t="s">
        <v>14</v>
      </c>
      <c r="B6" t="s">
        <v>17</v>
      </c>
      <c r="C6">
        <v>140</v>
      </c>
      <c r="D6">
        <v>0</v>
      </c>
      <c r="E6">
        <v>0</v>
      </c>
      <c r="F6">
        <v>140</v>
      </c>
      <c r="G6">
        <v>0</v>
      </c>
      <c r="I6">
        <f>G6+H6</f>
        <v>0</v>
      </c>
      <c r="J6">
        <v>0</v>
      </c>
      <c r="K6">
        <v>0</v>
      </c>
      <c r="L6">
        <v>140</v>
      </c>
      <c r="M6">
        <v>140</v>
      </c>
      <c r="N6">
        <v>0</v>
      </c>
      <c r="O6">
        <v>0</v>
      </c>
      <c r="P6">
        <v>0</v>
      </c>
      <c r="Q6">
        <f>1-(I6)/C6</f>
        <v>1</v>
      </c>
      <c r="R6">
        <f>1-N6/L6</f>
        <v>1</v>
      </c>
    </row>
    <row r="7" spans="1:18" x14ac:dyDescent="0.2">
      <c r="A7" t="s">
        <v>24</v>
      </c>
      <c r="B7" t="s">
        <v>17</v>
      </c>
      <c r="C7">
        <v>42</v>
      </c>
      <c r="D7">
        <v>0</v>
      </c>
      <c r="E7">
        <v>0</v>
      </c>
      <c r="F7">
        <v>42</v>
      </c>
      <c r="G7">
        <v>0</v>
      </c>
      <c r="I7">
        <f>G7+H7</f>
        <v>0</v>
      </c>
      <c r="J7">
        <v>0</v>
      </c>
      <c r="K7">
        <v>0</v>
      </c>
      <c r="L7">
        <v>42</v>
      </c>
      <c r="M7">
        <v>42</v>
      </c>
      <c r="N7">
        <v>0</v>
      </c>
      <c r="O7">
        <v>0</v>
      </c>
      <c r="P7">
        <v>0</v>
      </c>
      <c r="Q7">
        <f>1-(I7)/C7</f>
        <v>1</v>
      </c>
    </row>
    <row r="8" spans="1:18" x14ac:dyDescent="0.2">
      <c r="A8" t="s">
        <v>26</v>
      </c>
      <c r="B8" t="s">
        <v>17</v>
      </c>
      <c r="C8">
        <v>24</v>
      </c>
      <c r="D8">
        <v>0</v>
      </c>
      <c r="E8">
        <v>6</v>
      </c>
      <c r="F8">
        <v>16</v>
      </c>
      <c r="G8">
        <v>0</v>
      </c>
      <c r="H8">
        <v>1</v>
      </c>
      <c r="I8">
        <f>G8+H8</f>
        <v>1</v>
      </c>
      <c r="J8">
        <v>0</v>
      </c>
      <c r="K8">
        <v>2</v>
      </c>
      <c r="L8">
        <v>18</v>
      </c>
      <c r="M8">
        <v>16</v>
      </c>
      <c r="N8">
        <v>0</v>
      </c>
      <c r="O8">
        <v>0</v>
      </c>
      <c r="P8">
        <v>1</v>
      </c>
      <c r="Q8">
        <f>1-(I8)/C8</f>
        <v>0.95833333333333337</v>
      </c>
      <c r="R8">
        <f>1-N8/L8</f>
        <v>1</v>
      </c>
    </row>
    <row r="9" spans="1:18" x14ac:dyDescent="0.2">
      <c r="A9" t="s">
        <v>21</v>
      </c>
      <c r="B9" t="s">
        <v>17</v>
      </c>
      <c r="C9">
        <v>12</v>
      </c>
      <c r="D9">
        <v>0</v>
      </c>
      <c r="E9">
        <v>0</v>
      </c>
      <c r="F9">
        <v>12</v>
      </c>
      <c r="G9">
        <v>0</v>
      </c>
      <c r="I9">
        <f>G9+H9</f>
        <v>0</v>
      </c>
      <c r="J9">
        <v>0</v>
      </c>
      <c r="K9">
        <v>3</v>
      </c>
      <c r="L9">
        <v>12</v>
      </c>
      <c r="M9">
        <v>12</v>
      </c>
      <c r="N9">
        <v>0</v>
      </c>
      <c r="O9">
        <v>0</v>
      </c>
      <c r="P9">
        <v>3</v>
      </c>
      <c r="Q9">
        <f>1-(I9)/C9</f>
        <v>1</v>
      </c>
      <c r="R9">
        <f>1-N9/L9</f>
        <v>1</v>
      </c>
    </row>
    <row r="11" spans="1:18" x14ac:dyDescent="0.2">
      <c r="A11" t="s">
        <v>32</v>
      </c>
      <c r="C11">
        <f>SUM(C3:C9)</f>
        <v>2548</v>
      </c>
      <c r="D11">
        <f t="shared" ref="D11:P11" si="0">SUM(D3:D9)</f>
        <v>1</v>
      </c>
      <c r="E11">
        <f t="shared" si="0"/>
        <v>52</v>
      </c>
      <c r="F11">
        <f t="shared" si="0"/>
        <v>2463</v>
      </c>
      <c r="G11">
        <f t="shared" si="0"/>
        <v>34</v>
      </c>
      <c r="H11">
        <f t="shared" si="0"/>
        <v>3</v>
      </c>
      <c r="I11">
        <f t="shared" si="0"/>
        <v>37</v>
      </c>
      <c r="J11">
        <f t="shared" si="0"/>
        <v>31</v>
      </c>
      <c r="K11">
        <f t="shared" si="0"/>
        <v>30</v>
      </c>
      <c r="L11">
        <f t="shared" si="0"/>
        <v>2496</v>
      </c>
      <c r="M11">
        <f t="shared" si="0"/>
        <v>2424</v>
      </c>
      <c r="N11">
        <f t="shared" si="0"/>
        <v>3</v>
      </c>
      <c r="O11">
        <f t="shared" si="0"/>
        <v>0</v>
      </c>
      <c r="P11">
        <f t="shared" si="0"/>
        <v>29</v>
      </c>
      <c r="Q11">
        <f t="shared" ref="Q11" si="1">1-(I11)/C11</f>
        <v>0.98547880690737832</v>
      </c>
      <c r="R11">
        <f t="shared" ref="R11" si="2">1-N11/L11</f>
        <v>0.99879807692307687</v>
      </c>
    </row>
    <row r="14" spans="1:18" x14ac:dyDescent="0.2">
      <c r="A14" t="s">
        <v>25</v>
      </c>
      <c r="B14" t="s">
        <v>17</v>
      </c>
      <c r="C14">
        <v>3</v>
      </c>
      <c r="D14">
        <v>0</v>
      </c>
      <c r="E14">
        <v>0</v>
      </c>
      <c r="F14">
        <v>3</v>
      </c>
      <c r="G14">
        <v>0</v>
      </c>
      <c r="I14">
        <f>G14+H14</f>
        <v>0</v>
      </c>
      <c r="J14">
        <v>0</v>
      </c>
      <c r="K14">
        <v>0</v>
      </c>
      <c r="L14">
        <v>3</v>
      </c>
      <c r="M14">
        <v>3</v>
      </c>
      <c r="N14">
        <v>0</v>
      </c>
      <c r="O14">
        <v>0</v>
      </c>
      <c r="P14">
        <v>0</v>
      </c>
      <c r="Q14">
        <f>1-(I14)/C14</f>
        <v>1</v>
      </c>
      <c r="R14">
        <f>1-N14/L14</f>
        <v>1</v>
      </c>
    </row>
    <row r="15" spans="1:18" x14ac:dyDescent="0.2">
      <c r="A15" t="s">
        <v>20</v>
      </c>
      <c r="B15" t="s">
        <v>17</v>
      </c>
      <c r="C15">
        <v>2</v>
      </c>
      <c r="D15">
        <v>0</v>
      </c>
      <c r="E15">
        <v>0</v>
      </c>
      <c r="F15">
        <v>2</v>
      </c>
      <c r="G15">
        <v>0</v>
      </c>
      <c r="I15">
        <f>G15+H15</f>
        <v>0</v>
      </c>
      <c r="J15">
        <v>0</v>
      </c>
      <c r="K15">
        <v>0</v>
      </c>
      <c r="L15">
        <v>2</v>
      </c>
      <c r="M15">
        <v>2</v>
      </c>
      <c r="N15">
        <v>0</v>
      </c>
      <c r="O15">
        <v>0</v>
      </c>
      <c r="P15">
        <v>0</v>
      </c>
      <c r="Q15">
        <f>1-(I15)/C15</f>
        <v>1</v>
      </c>
      <c r="R15">
        <f>1-N15/L15</f>
        <v>1</v>
      </c>
    </row>
  </sheetData>
  <sortState xmlns:xlrd2="http://schemas.microsoft.com/office/spreadsheetml/2017/richdata2" ref="A3:R10">
    <sortCondition descending="1" ref="C3:C1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47C4A-B969-5D4A-91EF-ABA3D17893EA}">
  <dimension ref="A1:R14"/>
  <sheetViews>
    <sheetView workbookViewId="0">
      <selection activeCell="L8" sqref="L8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</v>
      </c>
      <c r="I1" t="s">
        <v>30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8" x14ac:dyDescent="0.2">
      <c r="A2" t="s">
        <v>16</v>
      </c>
      <c r="B2" t="s">
        <v>15</v>
      </c>
      <c r="C2">
        <v>1460</v>
      </c>
      <c r="D2">
        <v>201</v>
      </c>
      <c r="E2">
        <v>605</v>
      </c>
      <c r="F2">
        <v>1449</v>
      </c>
      <c r="G2">
        <v>249</v>
      </c>
      <c r="H2">
        <v>2</v>
      </c>
      <c r="I2">
        <f>G2+H2</f>
        <v>251</v>
      </c>
      <c r="J2">
        <v>249</v>
      </c>
      <c r="K2">
        <v>4</v>
      </c>
      <c r="L2">
        <v>910</v>
      </c>
      <c r="M2">
        <v>910</v>
      </c>
      <c r="N2">
        <v>0</v>
      </c>
      <c r="O2">
        <v>0</v>
      </c>
      <c r="P2">
        <v>0</v>
      </c>
      <c r="Q2">
        <f>1-(I2)/C2</f>
        <v>0.82808219178082187</v>
      </c>
      <c r="R2">
        <f>1-(N2+H2)/L2</f>
        <v>0.99780219780219781</v>
      </c>
    </row>
    <row r="3" spans="1:18" x14ac:dyDescent="0.2">
      <c r="A3" t="s">
        <v>19</v>
      </c>
      <c r="B3" t="s">
        <v>15</v>
      </c>
      <c r="C3">
        <v>546</v>
      </c>
      <c r="D3">
        <v>27</v>
      </c>
      <c r="E3">
        <v>134</v>
      </c>
      <c r="F3">
        <v>481</v>
      </c>
      <c r="G3">
        <v>77</v>
      </c>
      <c r="I3">
        <f>G3+H3</f>
        <v>77</v>
      </c>
      <c r="J3">
        <v>76</v>
      </c>
      <c r="K3">
        <v>22</v>
      </c>
      <c r="L3">
        <v>412</v>
      </c>
      <c r="M3">
        <v>361</v>
      </c>
      <c r="N3">
        <v>1</v>
      </c>
      <c r="O3">
        <v>0</v>
      </c>
      <c r="P3">
        <v>22</v>
      </c>
      <c r="Q3">
        <f>1-(I3)/C3</f>
        <v>0.85897435897435903</v>
      </c>
      <c r="R3">
        <f>1-(N3+H3)/L3</f>
        <v>0.99757281553398058</v>
      </c>
    </row>
    <row r="4" spans="1:18" x14ac:dyDescent="0.2">
      <c r="A4" t="s">
        <v>22</v>
      </c>
      <c r="B4" t="s">
        <v>15</v>
      </c>
      <c r="C4">
        <v>278</v>
      </c>
      <c r="D4">
        <v>9</v>
      </c>
      <c r="E4">
        <v>60</v>
      </c>
      <c r="F4">
        <v>277</v>
      </c>
      <c r="G4">
        <v>39</v>
      </c>
      <c r="I4">
        <f>G4+H4</f>
        <v>39</v>
      </c>
      <c r="J4">
        <v>39</v>
      </c>
      <c r="K4">
        <v>1</v>
      </c>
      <c r="L4">
        <v>218</v>
      </c>
      <c r="M4">
        <v>218</v>
      </c>
      <c r="N4">
        <v>0</v>
      </c>
      <c r="O4">
        <v>0</v>
      </c>
      <c r="P4">
        <v>0</v>
      </c>
      <c r="Q4">
        <f>1-(I4)/C4</f>
        <v>0.85971223021582732</v>
      </c>
      <c r="R4">
        <f>1-(N4+H4)/L4</f>
        <v>1</v>
      </c>
    </row>
    <row r="5" spans="1:18" x14ac:dyDescent="0.2">
      <c r="A5" t="s">
        <v>14</v>
      </c>
      <c r="B5" t="s">
        <v>15</v>
      </c>
      <c r="C5">
        <v>140</v>
      </c>
      <c r="D5">
        <v>12</v>
      </c>
      <c r="E5">
        <v>36</v>
      </c>
      <c r="F5">
        <v>140</v>
      </c>
      <c r="G5">
        <v>26</v>
      </c>
      <c r="H5">
        <v>11</v>
      </c>
      <c r="I5">
        <f>G5+H5</f>
        <v>37</v>
      </c>
      <c r="J5">
        <v>26</v>
      </c>
      <c r="K5">
        <v>0</v>
      </c>
      <c r="L5">
        <v>104</v>
      </c>
      <c r="M5">
        <v>104</v>
      </c>
      <c r="N5">
        <v>0</v>
      </c>
      <c r="O5">
        <v>0</v>
      </c>
      <c r="P5">
        <v>0</v>
      </c>
      <c r="Q5">
        <f>1-(I5)/C5</f>
        <v>0.73571428571428577</v>
      </c>
      <c r="R5">
        <f>1-(N5+H5)/L5</f>
        <v>0.89423076923076927</v>
      </c>
    </row>
    <row r="6" spans="1:18" x14ac:dyDescent="0.2">
      <c r="A6" t="s">
        <v>24</v>
      </c>
      <c r="B6" t="s">
        <v>15</v>
      </c>
      <c r="C6">
        <v>42</v>
      </c>
      <c r="D6">
        <v>2</v>
      </c>
      <c r="E6">
        <v>6</v>
      </c>
      <c r="F6">
        <v>42</v>
      </c>
      <c r="G6">
        <v>4</v>
      </c>
      <c r="I6">
        <f>G6+H6</f>
        <v>4</v>
      </c>
      <c r="J6">
        <v>4</v>
      </c>
      <c r="K6">
        <v>0</v>
      </c>
      <c r="L6">
        <v>36</v>
      </c>
      <c r="M6">
        <v>36</v>
      </c>
      <c r="N6">
        <v>0</v>
      </c>
      <c r="O6">
        <v>0</v>
      </c>
      <c r="P6">
        <v>0</v>
      </c>
      <c r="Q6">
        <f>1-(I6)/C6</f>
        <v>0.90476190476190477</v>
      </c>
      <c r="R6">
        <f>1-(N6+H6)/L6</f>
        <v>1</v>
      </c>
    </row>
    <row r="7" spans="1:18" x14ac:dyDescent="0.2">
      <c r="A7" t="s">
        <v>26</v>
      </c>
      <c r="B7" t="s">
        <v>15</v>
      </c>
      <c r="C7">
        <v>24</v>
      </c>
      <c r="D7">
        <v>6</v>
      </c>
      <c r="E7">
        <v>12</v>
      </c>
      <c r="F7">
        <v>16</v>
      </c>
      <c r="G7">
        <v>3</v>
      </c>
      <c r="I7">
        <f>G7+H7</f>
        <v>3</v>
      </c>
      <c r="J7">
        <v>3</v>
      </c>
      <c r="K7">
        <v>6</v>
      </c>
      <c r="L7">
        <v>12</v>
      </c>
      <c r="M7">
        <v>12</v>
      </c>
      <c r="N7">
        <v>0</v>
      </c>
      <c r="O7">
        <v>0</v>
      </c>
      <c r="P7">
        <v>1</v>
      </c>
      <c r="Q7">
        <f>1-(I7)/C7</f>
        <v>0.875</v>
      </c>
      <c r="R7">
        <f>1-(N7+H7)/L7</f>
        <v>1</v>
      </c>
    </row>
    <row r="8" spans="1:18" x14ac:dyDescent="0.2">
      <c r="A8" t="s">
        <v>21</v>
      </c>
      <c r="B8" t="s">
        <v>15</v>
      </c>
      <c r="C8">
        <v>12</v>
      </c>
      <c r="D8">
        <v>1</v>
      </c>
      <c r="E8">
        <v>6</v>
      </c>
      <c r="F8">
        <v>12</v>
      </c>
      <c r="G8">
        <v>0</v>
      </c>
      <c r="H8">
        <v>3</v>
      </c>
      <c r="I8">
        <f>G8+H8</f>
        <v>3</v>
      </c>
      <c r="J8">
        <v>0</v>
      </c>
      <c r="K8">
        <v>3</v>
      </c>
      <c r="L8">
        <v>6</v>
      </c>
      <c r="M8">
        <v>6</v>
      </c>
      <c r="N8">
        <v>0</v>
      </c>
      <c r="O8">
        <v>0</v>
      </c>
      <c r="P8">
        <v>3</v>
      </c>
      <c r="Q8">
        <f>1-(I8)/C8</f>
        <v>0.75</v>
      </c>
      <c r="R8">
        <f>1-(N8+H8)/L8</f>
        <v>0.5</v>
      </c>
    </row>
    <row r="11" spans="1:18" x14ac:dyDescent="0.2">
      <c r="A11" t="s">
        <v>32</v>
      </c>
      <c r="C11">
        <f>SUM(C2:C8)</f>
        <v>2502</v>
      </c>
      <c r="D11">
        <f t="shared" ref="D11:P11" si="0">SUM(D2:D8)</f>
        <v>258</v>
      </c>
      <c r="E11">
        <f t="shared" si="0"/>
        <v>859</v>
      </c>
      <c r="F11">
        <f t="shared" si="0"/>
        <v>2417</v>
      </c>
      <c r="G11">
        <f t="shared" si="0"/>
        <v>398</v>
      </c>
      <c r="H11">
        <f t="shared" si="0"/>
        <v>16</v>
      </c>
      <c r="I11">
        <f t="shared" si="0"/>
        <v>414</v>
      </c>
      <c r="J11">
        <f t="shared" si="0"/>
        <v>397</v>
      </c>
      <c r="K11">
        <f t="shared" si="0"/>
        <v>36</v>
      </c>
      <c r="L11">
        <f t="shared" si="0"/>
        <v>1698</v>
      </c>
      <c r="M11">
        <f t="shared" si="0"/>
        <v>1647</v>
      </c>
      <c r="N11">
        <f t="shared" si="0"/>
        <v>1</v>
      </c>
      <c r="O11">
        <f t="shared" si="0"/>
        <v>0</v>
      </c>
      <c r="P11">
        <f t="shared" si="0"/>
        <v>26</v>
      </c>
      <c r="Q11">
        <f t="shared" ref="Q11" si="1">1-(I11)/C11</f>
        <v>0.83453237410071945</v>
      </c>
      <c r="R11">
        <f>1-(N11+H11)/L11</f>
        <v>0.98998822143698473</v>
      </c>
    </row>
    <row r="13" spans="1:18" x14ac:dyDescent="0.2">
      <c r="A13" t="s">
        <v>25</v>
      </c>
      <c r="B13" t="s">
        <v>15</v>
      </c>
      <c r="C13">
        <v>3</v>
      </c>
      <c r="D13">
        <v>0</v>
      </c>
      <c r="E13">
        <v>0</v>
      </c>
      <c r="F13">
        <v>3</v>
      </c>
      <c r="G13">
        <v>0</v>
      </c>
      <c r="I13">
        <f>G13+H13</f>
        <v>0</v>
      </c>
      <c r="J13">
        <v>0</v>
      </c>
      <c r="K13">
        <v>0</v>
      </c>
      <c r="L13">
        <v>3</v>
      </c>
      <c r="M13">
        <v>3</v>
      </c>
      <c r="N13">
        <v>0</v>
      </c>
      <c r="O13">
        <v>0</v>
      </c>
      <c r="P13">
        <v>0</v>
      </c>
      <c r="Q13">
        <f>1-(I13)/C13</f>
        <v>1</v>
      </c>
      <c r="R13">
        <f>1-(N13+H13)/L13</f>
        <v>1</v>
      </c>
    </row>
    <row r="14" spans="1:18" x14ac:dyDescent="0.2">
      <c r="A14" t="s">
        <v>20</v>
      </c>
      <c r="B14" t="s">
        <v>15</v>
      </c>
      <c r="C14">
        <v>2</v>
      </c>
      <c r="D14">
        <v>0</v>
      </c>
      <c r="E14">
        <v>2</v>
      </c>
      <c r="F14">
        <v>2</v>
      </c>
      <c r="G14">
        <v>0</v>
      </c>
      <c r="I14">
        <f>G14+H14</f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f>1-(I14)/C14</f>
        <v>1</v>
      </c>
    </row>
  </sheetData>
  <sortState xmlns:xlrd2="http://schemas.microsoft.com/office/spreadsheetml/2017/richdata2" ref="A2:R10">
    <sortCondition descending="1" ref="C2:C1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34DB0-8DF3-AF43-9285-2F8540F974C4}">
  <dimension ref="A1:I24"/>
  <sheetViews>
    <sheetView workbookViewId="0">
      <selection sqref="A1:I24"/>
    </sheetView>
  </sheetViews>
  <sheetFormatPr baseColWidth="10" defaultRowHeight="16" x14ac:dyDescent="0.2"/>
  <sheetData>
    <row r="1" spans="1:9" s="1" customFormat="1" ht="17" x14ac:dyDescent="0.2">
      <c r="A1" t="s">
        <v>0</v>
      </c>
      <c r="B1" t="s">
        <v>2</v>
      </c>
      <c r="C1" t="s">
        <v>3</v>
      </c>
      <c r="D1" t="s">
        <v>4</v>
      </c>
      <c r="E1" t="s">
        <v>30</v>
      </c>
      <c r="F1" t="s">
        <v>9</v>
      </c>
      <c r="G1" t="s">
        <v>11</v>
      </c>
      <c r="H1" s="1" t="s">
        <v>28</v>
      </c>
      <c r="I1" s="1" t="s">
        <v>33</v>
      </c>
    </row>
    <row r="2" spans="1:9" x14ac:dyDescent="0.2">
      <c r="A2" t="s">
        <v>16</v>
      </c>
      <c r="B2">
        <v>1460</v>
      </c>
      <c r="C2">
        <v>201</v>
      </c>
      <c r="D2">
        <v>605</v>
      </c>
      <c r="E2">
        <v>251</v>
      </c>
      <c r="F2">
        <v>910</v>
      </c>
      <c r="G2">
        <v>0</v>
      </c>
      <c r="H2">
        <v>0.82808219178082187</v>
      </c>
      <c r="I2">
        <v>0.99780219780219781</v>
      </c>
    </row>
    <row r="3" spans="1:9" x14ac:dyDescent="0.2">
      <c r="A3" t="s">
        <v>19</v>
      </c>
      <c r="B3">
        <v>546</v>
      </c>
      <c r="C3">
        <v>27</v>
      </c>
      <c r="D3">
        <v>134</v>
      </c>
      <c r="E3">
        <v>77</v>
      </c>
      <c r="F3">
        <v>412</v>
      </c>
      <c r="G3">
        <v>1</v>
      </c>
      <c r="H3">
        <v>0.85897435897435903</v>
      </c>
      <c r="I3">
        <v>0.99757281553398058</v>
      </c>
    </row>
    <row r="4" spans="1:9" x14ac:dyDescent="0.2">
      <c r="A4" t="s">
        <v>22</v>
      </c>
      <c r="B4">
        <v>278</v>
      </c>
      <c r="C4">
        <v>9</v>
      </c>
      <c r="D4">
        <v>60</v>
      </c>
      <c r="E4">
        <v>39</v>
      </c>
      <c r="F4">
        <v>218</v>
      </c>
      <c r="G4">
        <v>0</v>
      </c>
      <c r="H4">
        <v>0.85971223021582732</v>
      </c>
      <c r="I4">
        <v>1</v>
      </c>
    </row>
    <row r="5" spans="1:9" x14ac:dyDescent="0.2">
      <c r="A5" t="s">
        <v>14</v>
      </c>
      <c r="B5">
        <v>140</v>
      </c>
      <c r="C5">
        <v>12</v>
      </c>
      <c r="D5">
        <v>36</v>
      </c>
      <c r="E5">
        <v>37</v>
      </c>
      <c r="F5">
        <v>104</v>
      </c>
      <c r="G5">
        <v>0</v>
      </c>
      <c r="H5">
        <v>0.73571428571428577</v>
      </c>
      <c r="I5">
        <v>0.89423076923076927</v>
      </c>
    </row>
    <row r="6" spans="1:9" x14ac:dyDescent="0.2">
      <c r="A6" t="s">
        <v>24</v>
      </c>
      <c r="B6">
        <v>42</v>
      </c>
      <c r="C6">
        <v>2</v>
      </c>
      <c r="D6">
        <v>6</v>
      </c>
      <c r="E6">
        <v>4</v>
      </c>
      <c r="F6">
        <v>36</v>
      </c>
      <c r="G6">
        <v>0</v>
      </c>
      <c r="H6">
        <v>0.90476190476190477</v>
      </c>
      <c r="I6">
        <v>1</v>
      </c>
    </row>
    <row r="7" spans="1:9" x14ac:dyDescent="0.2">
      <c r="A7" t="s">
        <v>26</v>
      </c>
      <c r="B7">
        <v>24</v>
      </c>
      <c r="C7">
        <v>6</v>
      </c>
      <c r="D7">
        <v>12</v>
      </c>
      <c r="E7">
        <v>3</v>
      </c>
      <c r="F7">
        <v>12</v>
      </c>
      <c r="G7">
        <v>0</v>
      </c>
      <c r="H7">
        <v>0.875</v>
      </c>
      <c r="I7">
        <v>1</v>
      </c>
    </row>
    <row r="8" spans="1:9" x14ac:dyDescent="0.2">
      <c r="A8" t="s">
        <v>21</v>
      </c>
      <c r="B8">
        <v>12</v>
      </c>
      <c r="C8">
        <v>1</v>
      </c>
      <c r="D8">
        <v>6</v>
      </c>
      <c r="E8">
        <v>3</v>
      </c>
      <c r="F8">
        <v>6</v>
      </c>
      <c r="G8">
        <v>0</v>
      </c>
      <c r="H8">
        <v>0.75</v>
      </c>
      <c r="I8">
        <v>0.5</v>
      </c>
    </row>
    <row r="11" spans="1:9" x14ac:dyDescent="0.2">
      <c r="A11" t="s">
        <v>32</v>
      </c>
      <c r="B11">
        <v>2502</v>
      </c>
      <c r="C11">
        <v>258</v>
      </c>
      <c r="D11">
        <v>859</v>
      </c>
      <c r="E11">
        <v>414</v>
      </c>
      <c r="F11">
        <v>1698</v>
      </c>
      <c r="G11">
        <v>1</v>
      </c>
      <c r="H11">
        <v>0.83453237410071945</v>
      </c>
      <c r="I11">
        <v>0.98998822143698473</v>
      </c>
    </row>
    <row r="14" spans="1:9" x14ac:dyDescent="0.2">
      <c r="H14" s="1"/>
    </row>
    <row r="16" spans="1:9" x14ac:dyDescent="0.2">
      <c r="A16" t="s">
        <v>16</v>
      </c>
      <c r="B16">
        <v>1515</v>
      </c>
      <c r="C16">
        <v>1</v>
      </c>
      <c r="D16">
        <v>41</v>
      </c>
      <c r="E16">
        <v>31</v>
      </c>
      <c r="F16">
        <v>1474</v>
      </c>
      <c r="G16">
        <v>0</v>
      </c>
      <c r="H16">
        <v>0.97953795379537956</v>
      </c>
      <c r="I16">
        <v>1</v>
      </c>
    </row>
    <row r="17" spans="1:9" x14ac:dyDescent="0.2">
      <c r="A17" t="s">
        <v>19</v>
      </c>
      <c r="B17">
        <v>537</v>
      </c>
      <c r="C17">
        <v>0</v>
      </c>
      <c r="D17">
        <v>4</v>
      </c>
      <c r="E17">
        <v>5</v>
      </c>
      <c r="F17">
        <v>533</v>
      </c>
      <c r="G17">
        <v>3</v>
      </c>
      <c r="H17">
        <v>0.9906890130353817</v>
      </c>
      <c r="I17">
        <v>0.99437148217636018</v>
      </c>
    </row>
    <row r="18" spans="1:9" x14ac:dyDescent="0.2">
      <c r="A18" t="s">
        <v>22</v>
      </c>
      <c r="B18">
        <v>278</v>
      </c>
      <c r="C18">
        <v>0</v>
      </c>
      <c r="D18">
        <v>1</v>
      </c>
      <c r="E18">
        <v>0</v>
      </c>
      <c r="F18">
        <v>277</v>
      </c>
      <c r="G18">
        <v>0</v>
      </c>
      <c r="H18">
        <v>1</v>
      </c>
      <c r="I18">
        <v>1</v>
      </c>
    </row>
    <row r="19" spans="1:9" x14ac:dyDescent="0.2">
      <c r="A19" t="s">
        <v>14</v>
      </c>
      <c r="B19">
        <v>140</v>
      </c>
      <c r="C19">
        <v>0</v>
      </c>
      <c r="D19">
        <v>0</v>
      </c>
      <c r="E19">
        <v>0</v>
      </c>
      <c r="F19">
        <v>140</v>
      </c>
      <c r="G19">
        <v>0</v>
      </c>
      <c r="H19">
        <v>1</v>
      </c>
      <c r="I19">
        <v>1</v>
      </c>
    </row>
    <row r="20" spans="1:9" x14ac:dyDescent="0.2">
      <c r="A20" t="s">
        <v>24</v>
      </c>
      <c r="B20">
        <v>42</v>
      </c>
      <c r="C20">
        <v>0</v>
      </c>
      <c r="D20">
        <v>0</v>
      </c>
      <c r="E20">
        <v>0</v>
      </c>
      <c r="F20">
        <v>42</v>
      </c>
      <c r="G20">
        <v>0</v>
      </c>
      <c r="H20">
        <v>1</v>
      </c>
    </row>
    <row r="21" spans="1:9" x14ac:dyDescent="0.2">
      <c r="A21" t="s">
        <v>26</v>
      </c>
      <c r="B21">
        <v>24</v>
      </c>
      <c r="C21">
        <v>0</v>
      </c>
      <c r="D21">
        <v>6</v>
      </c>
      <c r="E21">
        <v>1</v>
      </c>
      <c r="F21">
        <v>18</v>
      </c>
      <c r="G21">
        <v>0</v>
      </c>
      <c r="H21">
        <v>0.95833333333333337</v>
      </c>
      <c r="I21">
        <v>1</v>
      </c>
    </row>
    <row r="22" spans="1:9" x14ac:dyDescent="0.2">
      <c r="A22" t="s">
        <v>21</v>
      </c>
      <c r="B22">
        <v>12</v>
      </c>
      <c r="C22">
        <v>0</v>
      </c>
      <c r="D22">
        <v>0</v>
      </c>
      <c r="E22">
        <v>0</v>
      </c>
      <c r="F22">
        <v>12</v>
      </c>
      <c r="G22">
        <v>0</v>
      </c>
      <c r="H22">
        <v>1</v>
      </c>
      <c r="I22">
        <v>1</v>
      </c>
    </row>
    <row r="24" spans="1:9" x14ac:dyDescent="0.2">
      <c r="A24" t="s">
        <v>32</v>
      </c>
      <c r="B24">
        <v>2548</v>
      </c>
      <c r="C24">
        <v>1</v>
      </c>
      <c r="D24">
        <v>52</v>
      </c>
      <c r="E24">
        <v>37</v>
      </c>
      <c r="F24">
        <v>2496</v>
      </c>
      <c r="G24">
        <v>3</v>
      </c>
      <c r="H24">
        <v>0.98547880690737832</v>
      </c>
      <c r="I24">
        <v>0.99879807692307687</v>
      </c>
    </row>
  </sheetData>
  <sortState xmlns:xlrd2="http://schemas.microsoft.com/office/spreadsheetml/2017/richdata2" ref="A14:G22">
    <sortCondition descending="1" ref="C14:C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packageStatistics</vt:lpstr>
      <vt:lpstr>dumb</vt:lpstr>
      <vt:lpstr>ashare</vt:lpstr>
      <vt:lpstr>ashare-paper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Narges Khakpour</cp:lastModifiedBy>
  <dcterms:created xsi:type="dcterms:W3CDTF">2025-09-09T13:23:43Z</dcterms:created>
  <dcterms:modified xsi:type="dcterms:W3CDTF">2025-09-09T14:41:39Z</dcterms:modified>
</cp:coreProperties>
</file>